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Project\Portfolio\Frimi Inc DCF\"/>
    </mc:Choice>
  </mc:AlternateContent>
  <xr:revisionPtr revIDLastSave="0" documentId="8_{BDACEFBB-7F7E-49EE-B55B-8F97B25EAE59}" xr6:coauthVersionLast="47" xr6:coauthVersionMax="47" xr10:uidLastSave="{00000000-0000-0000-0000-000000000000}"/>
  <bookViews>
    <workbookView xWindow="38280" yWindow="1785" windowWidth="29040" windowHeight="15840" activeTab="5" xr2:uid="{DD921CC9-D3A9-40BE-824C-23E3EFABBD7A}"/>
  </bookViews>
  <sheets>
    <sheet name="Cover Page" sheetId="1" r:id="rId1"/>
    <sheet name="Historical Data" sheetId="2" r:id="rId2"/>
    <sheet name="Operating Assumptions" sheetId="3" r:id="rId3"/>
    <sheet name="Operating Forecast" sheetId="4" r:id="rId4"/>
    <sheet name="WACC Assumptions" sheetId="5" r:id="rId5"/>
    <sheet name="DCF &amp; Sensitivity 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38" i="6" l="1"/>
  <c r="AB38" i="6"/>
  <c r="AC38" i="6"/>
  <c r="AD38" i="6"/>
  <c r="AE38" i="6"/>
  <c r="AB39" i="6"/>
  <c r="AC39" i="6"/>
  <c r="AD39" i="6"/>
  <c r="AE39" i="6"/>
  <c r="AB40" i="6"/>
  <c r="AC40" i="6"/>
  <c r="AD40" i="6"/>
  <c r="AE40" i="6"/>
  <c r="AB41" i="6"/>
  <c r="AC41" i="6"/>
  <c r="AD41" i="6"/>
  <c r="AE41" i="6"/>
  <c r="AB42" i="6"/>
  <c r="AC42" i="6"/>
  <c r="AD42" i="6"/>
  <c r="AE42" i="6"/>
  <c r="AA39" i="6"/>
  <c r="AA40" i="6"/>
  <c r="AA41" i="6"/>
  <c r="AA42" i="6"/>
  <c r="AB23" i="6"/>
  <c r="AC23" i="6"/>
  <c r="AD23" i="6"/>
  <c r="AE23" i="6"/>
  <c r="AB24" i="6"/>
  <c r="AC24" i="6"/>
  <c r="AD24" i="6"/>
  <c r="AE24" i="6"/>
  <c r="AB25" i="6"/>
  <c r="AC25" i="6"/>
  <c r="AD25" i="6"/>
  <c r="AE25" i="6"/>
  <c r="AB26" i="6"/>
  <c r="AC26" i="6"/>
  <c r="AD26" i="6"/>
  <c r="AE26" i="6"/>
  <c r="AB27" i="6"/>
  <c r="AC27" i="6"/>
  <c r="AD27" i="6"/>
  <c r="AE27" i="6"/>
  <c r="AA24" i="6"/>
  <c r="AA25" i="6"/>
  <c r="AA26" i="6"/>
  <c r="AA27" i="6"/>
  <c r="AA23" i="6"/>
  <c r="S40" i="6"/>
  <c r="Q38" i="6"/>
  <c r="U40" i="6"/>
  <c r="R41" i="6"/>
  <c r="Q42" i="6"/>
  <c r="I26" i="6"/>
  <c r="C26" i="6"/>
  <c r="I20" i="6"/>
  <c r="R38" i="6" s="1"/>
  <c r="C25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I21" i="6" s="1"/>
  <c r="T42" i="6" s="1"/>
  <c r="C17" i="2"/>
  <c r="C18" i="2"/>
  <c r="C19" i="2"/>
  <c r="C20" i="2"/>
  <c r="C21" i="2"/>
  <c r="C22" i="2"/>
  <c r="C23" i="2"/>
  <c r="C24" i="2"/>
  <c r="K8" i="6"/>
  <c r="B8" i="6"/>
  <c r="B7" i="6"/>
  <c r="J8" i="6"/>
  <c r="I8" i="6"/>
  <c r="H8" i="6"/>
  <c r="G8" i="6"/>
  <c r="F8" i="6"/>
  <c r="E8" i="6"/>
  <c r="D8" i="6"/>
  <c r="C8" i="6"/>
  <c r="C7" i="6"/>
  <c r="D7" i="6"/>
  <c r="B3" i="6"/>
  <c r="B6" i="3"/>
  <c r="B11" i="5"/>
  <c r="B10" i="5"/>
  <c r="B8" i="5"/>
  <c r="B5" i="5"/>
  <c r="B13" i="4"/>
  <c r="B3" i="4"/>
  <c r="F4" i="4"/>
  <c r="G4" i="4"/>
  <c r="H4" i="4"/>
  <c r="I4" i="4"/>
  <c r="J4" i="4"/>
  <c r="K4" i="4"/>
  <c r="G6" i="4"/>
  <c r="H6" i="4"/>
  <c r="I6" i="4"/>
  <c r="J6" i="4"/>
  <c r="K6" i="4"/>
  <c r="G9" i="4"/>
  <c r="G10" i="4" s="1"/>
  <c r="H9" i="4"/>
  <c r="H10" i="4" s="1"/>
  <c r="I9" i="4"/>
  <c r="I10" i="4" s="1"/>
  <c r="J9" i="4"/>
  <c r="J10" i="4" s="1"/>
  <c r="K9" i="4"/>
  <c r="K10" i="4" s="1"/>
  <c r="F6" i="4"/>
  <c r="F9" i="4"/>
  <c r="F10" i="4" s="1"/>
  <c r="G2" i="4"/>
  <c r="G12" i="4" s="1"/>
  <c r="H2" i="4"/>
  <c r="H12" i="4" s="1"/>
  <c r="I2" i="4"/>
  <c r="I5" i="4" s="1"/>
  <c r="I7" i="4" s="1"/>
  <c r="J2" i="4"/>
  <c r="K2" i="4"/>
  <c r="K12" i="4" s="1"/>
  <c r="D9" i="4"/>
  <c r="D10" i="4" s="1"/>
  <c r="E9" i="4"/>
  <c r="E10" i="4" s="1"/>
  <c r="C9" i="4"/>
  <c r="C10" i="4" s="1"/>
  <c r="B9" i="4"/>
  <c r="B10" i="4" s="1"/>
  <c r="C6" i="4"/>
  <c r="D6" i="4"/>
  <c r="E6" i="4"/>
  <c r="B6" i="4"/>
  <c r="B2" i="4"/>
  <c r="B12" i="4" s="1"/>
  <c r="C4" i="3"/>
  <c r="D4" i="3" s="1"/>
  <c r="C4" i="4"/>
  <c r="D4" i="4"/>
  <c r="E4" i="4"/>
  <c r="B4" i="4"/>
  <c r="B8" i="2"/>
  <c r="B13" i="2"/>
  <c r="Q41" i="6" l="1"/>
  <c r="T40" i="6"/>
  <c r="Q40" i="6"/>
  <c r="R40" i="6"/>
  <c r="Q39" i="6"/>
  <c r="U39" i="6"/>
  <c r="U42" i="6"/>
  <c r="T39" i="6"/>
  <c r="R39" i="6"/>
  <c r="R42" i="6"/>
  <c r="U38" i="6"/>
  <c r="S42" i="6"/>
  <c r="U41" i="6"/>
  <c r="T38" i="6"/>
  <c r="S39" i="6"/>
  <c r="T41" i="6"/>
  <c r="S38" i="6"/>
  <c r="S41" i="6"/>
  <c r="B9" i="6"/>
  <c r="D9" i="6"/>
  <c r="D12" i="6" s="1"/>
  <c r="C9" i="6"/>
  <c r="C12" i="6" s="1"/>
  <c r="J3" i="4"/>
  <c r="H5" i="4"/>
  <c r="H7" i="4" s="1"/>
  <c r="K8" i="4"/>
  <c r="I8" i="4"/>
  <c r="G5" i="4"/>
  <c r="G7" i="4" s="1"/>
  <c r="K3" i="4"/>
  <c r="J8" i="4"/>
  <c r="H8" i="4"/>
  <c r="H13" i="4"/>
  <c r="G8" i="4"/>
  <c r="K5" i="4"/>
  <c r="K7" i="4" s="1"/>
  <c r="J12" i="4"/>
  <c r="H3" i="4"/>
  <c r="I3" i="4"/>
  <c r="J5" i="4"/>
  <c r="J7" i="4" s="1"/>
  <c r="I12" i="4"/>
  <c r="I13" i="4" s="1"/>
  <c r="C6" i="3"/>
  <c r="C2" i="4" s="1"/>
  <c r="C5" i="4" s="1"/>
  <c r="C7" i="4" s="1"/>
  <c r="D6" i="3"/>
  <c r="D2" i="4" s="1"/>
  <c r="D5" i="4" s="1"/>
  <c r="D7" i="4" s="1"/>
  <c r="E4" i="3"/>
  <c r="B5" i="4"/>
  <c r="B7" i="4" s="1"/>
  <c r="B8" i="4"/>
  <c r="B12" i="6" l="1"/>
  <c r="I14" i="4"/>
  <c r="I7" i="6" s="1"/>
  <c r="I9" i="6" s="1"/>
  <c r="I12" i="6" s="1"/>
  <c r="H14" i="4"/>
  <c r="H7" i="6" s="1"/>
  <c r="H9" i="6" s="1"/>
  <c r="H12" i="6" s="1"/>
  <c r="J13" i="4"/>
  <c r="J14" i="4" s="1"/>
  <c r="J7" i="6" s="1"/>
  <c r="J9" i="6" s="1"/>
  <c r="J12" i="6" s="1"/>
  <c r="K13" i="4"/>
  <c r="K14" i="4" s="1"/>
  <c r="K7" i="6" s="1"/>
  <c r="D3" i="4"/>
  <c r="B14" i="4"/>
  <c r="C12" i="4"/>
  <c r="C13" i="4" s="1"/>
  <c r="C8" i="4"/>
  <c r="F4" i="3"/>
  <c r="E6" i="3"/>
  <c r="E2" i="4" s="1"/>
  <c r="D8" i="4"/>
  <c r="D12" i="4"/>
  <c r="D13" i="4" s="1"/>
  <c r="K9" i="6" l="1"/>
  <c r="L7" i="6"/>
  <c r="K10" i="6" s="1"/>
  <c r="K11" i="6" s="1"/>
  <c r="B20" i="6" s="1"/>
  <c r="C14" i="4"/>
  <c r="F6" i="3"/>
  <c r="F2" i="4" s="1"/>
  <c r="G4" i="3"/>
  <c r="D14" i="4"/>
  <c r="E8" i="4"/>
  <c r="E12" i="4"/>
  <c r="E13" i="4" s="1"/>
  <c r="E3" i="4"/>
  <c r="E5" i="4"/>
  <c r="E7" i="4" s="1"/>
  <c r="F3" i="4"/>
  <c r="K12" i="6" l="1"/>
  <c r="F8" i="4"/>
  <c r="F5" i="4"/>
  <c r="F7" i="4" s="1"/>
  <c r="F12" i="4"/>
  <c r="G3" i="4"/>
  <c r="H4" i="3"/>
  <c r="G6" i="3"/>
  <c r="E14" i="4"/>
  <c r="E7" i="6" s="1"/>
  <c r="E9" i="6" s="1"/>
  <c r="E12" i="6" l="1"/>
  <c r="F13" i="4"/>
  <c r="F14" i="4" s="1"/>
  <c r="F7" i="6" s="1"/>
  <c r="F9" i="6" s="1"/>
  <c r="F12" i="6" s="1"/>
  <c r="G13" i="4"/>
  <c r="G14" i="4" s="1"/>
  <c r="G7" i="6" s="1"/>
  <c r="G9" i="6" s="1"/>
  <c r="G12" i="6" s="1"/>
  <c r="I4" i="3"/>
  <c r="H6" i="3"/>
  <c r="B19" i="6" l="1"/>
  <c r="B21" i="6" s="1"/>
  <c r="I19" i="6" s="1"/>
  <c r="J4" i="3"/>
  <c r="I6" i="3"/>
  <c r="I22" i="6" l="1"/>
  <c r="C25" i="6" s="1"/>
  <c r="K4" i="3"/>
  <c r="K6" i="3" s="1"/>
  <c r="J6" i="3"/>
  <c r="C19" i="6" l="1"/>
  <c r="C20" i="6"/>
  <c r="C21" i="6" l="1"/>
  <c r="C27" i="6"/>
  <c r="I25" i="6" s="1"/>
  <c r="I27" i="6" s="1"/>
  <c r="P22" i="6"/>
</calcChain>
</file>

<file path=xl/sharedStrings.xml><?xml version="1.0" encoding="utf-8"?>
<sst xmlns="http://schemas.openxmlformats.org/spreadsheetml/2006/main" count="166" uniqueCount="136">
  <si>
    <t>Historical Data</t>
  </si>
  <si>
    <t>Item</t>
  </si>
  <si>
    <t xml:space="preserve">Revenue </t>
  </si>
  <si>
    <t>Operating Income/ Loss</t>
  </si>
  <si>
    <t>EBIT</t>
  </si>
  <si>
    <t>Net Income/Loss</t>
  </si>
  <si>
    <t xml:space="preserve">Interest Expense </t>
  </si>
  <si>
    <t xml:space="preserve">Income Tax Expense </t>
  </si>
  <si>
    <t>D&amp;A</t>
  </si>
  <si>
    <t xml:space="preserve">Stock-Based compensation </t>
  </si>
  <si>
    <t>Operating Cash Flow</t>
  </si>
  <si>
    <t>Capex</t>
  </si>
  <si>
    <t>Cash and Cash Equivalents</t>
  </si>
  <si>
    <t>Retricted Cash</t>
  </si>
  <si>
    <t>Accounts Receivable</t>
  </si>
  <si>
    <t xml:space="preserve">Prepaid and Other Current Assets </t>
  </si>
  <si>
    <t>PP&amp;E</t>
  </si>
  <si>
    <t>Constrution in Progress</t>
  </si>
  <si>
    <t xml:space="preserve">Basic Shares Outstanding </t>
  </si>
  <si>
    <t>Diluted Shares Outstanding</t>
  </si>
  <si>
    <t xml:space="preserve">Interest Income </t>
  </si>
  <si>
    <t>Capitalized Interest</t>
  </si>
  <si>
    <t>Accounts Payable &amp; Accrued Liabilities</t>
  </si>
  <si>
    <t>Debt, Net</t>
  </si>
  <si>
    <t>Operating Assumptions</t>
  </si>
  <si>
    <t xml:space="preserve">Online Capacity (MW) </t>
  </si>
  <si>
    <t>2026E</t>
  </si>
  <si>
    <t>2027E</t>
  </si>
  <si>
    <t>2028E</t>
  </si>
  <si>
    <t>2029E</t>
  </si>
  <si>
    <t>2030E</t>
  </si>
  <si>
    <t>Capacity Utilization</t>
  </si>
  <si>
    <t>Lease Rate ($/kW/month)</t>
  </si>
  <si>
    <t>Annual Lease Escalation (%)</t>
  </si>
  <si>
    <t xml:space="preserve">Source </t>
  </si>
  <si>
    <t>Management guidance</t>
  </si>
  <si>
    <t>Analyst assumption</t>
  </si>
  <si>
    <t>EBIT Margin</t>
  </si>
  <si>
    <t>Tax Rate</t>
  </si>
  <si>
    <t>D&amp;A (% Revenue)</t>
  </si>
  <si>
    <t>NWC (% Revenue)</t>
  </si>
  <si>
    <t>Capital Assumpetion</t>
  </si>
  <si>
    <t xml:space="preserve">Financial Assumptions </t>
  </si>
  <si>
    <t>Construction Cost per MW</t>
  </si>
  <si>
    <t>Analyst assumption based on expected operating leverage</t>
  </si>
  <si>
    <t>Revenue per MV</t>
  </si>
  <si>
    <t>Comparable companies + Analyst</t>
  </si>
  <si>
    <t>Capex = Incremental MW × Construction Cost per MW</t>
  </si>
  <si>
    <t>Revenue</t>
  </si>
  <si>
    <t>Revenue Growth</t>
  </si>
  <si>
    <t xml:space="preserve">EBIT  </t>
  </si>
  <si>
    <t>NOPAT</t>
  </si>
  <si>
    <t>FCF</t>
  </si>
  <si>
    <t>FY2026E</t>
  </si>
  <si>
    <t>FY2027E</t>
  </si>
  <si>
    <t>FY2028E</t>
  </si>
  <si>
    <t>FY2029E</t>
  </si>
  <si>
    <t>FY2030E</t>
  </si>
  <si>
    <t xml:space="preserve">D&amp;A </t>
  </si>
  <si>
    <t>Incremental MV</t>
  </si>
  <si>
    <t>ΔNWC</t>
  </si>
  <si>
    <t xml:space="preserve">NWC </t>
  </si>
  <si>
    <t>FY2031E</t>
  </si>
  <si>
    <t>FY2032E</t>
  </si>
  <si>
    <t>FY2033E</t>
  </si>
  <si>
    <t>FY2034E</t>
  </si>
  <si>
    <t>FY2035E</t>
  </si>
  <si>
    <t>2031E</t>
  </si>
  <si>
    <t>2032E</t>
  </si>
  <si>
    <t>2033E</t>
  </si>
  <si>
    <t>2034E</t>
  </si>
  <si>
    <t>2035E</t>
  </si>
  <si>
    <t>N/M</t>
  </si>
  <si>
    <t>Risk-free Rate</t>
  </si>
  <si>
    <t>WACC Assumptions</t>
  </si>
  <si>
    <t>Value</t>
  </si>
  <si>
    <t>Source</t>
  </si>
  <si>
    <t>Equity Risk Premium</t>
  </si>
  <si>
    <t>Beta</t>
  </si>
  <si>
    <t>Cost of Equity</t>
  </si>
  <si>
    <t>Pre-tax Cost of Debt</t>
  </si>
  <si>
    <t>Forecast</t>
  </si>
  <si>
    <t>After-tax Cost of Debt</t>
  </si>
  <si>
    <t>Debt Weight</t>
  </si>
  <si>
    <t>Equity Weight</t>
  </si>
  <si>
    <t>WACC</t>
  </si>
  <si>
    <t>10-Year U.S. Treasury Yield</t>
  </si>
  <si>
    <t>Damodaran (July 2026)</t>
  </si>
  <si>
    <t>Comparable AI/Data Center Infrastructure</t>
  </si>
  <si>
    <t>risk free + beta*equity risk premium</t>
  </si>
  <si>
    <t>Development-stage infrastructure</t>
  </si>
  <si>
    <t>Cost of equity×equity weight + Cost of Debt×debt weight</t>
  </si>
  <si>
    <t>Terminal Growth</t>
  </si>
  <si>
    <t>WACC&amp; Terminal</t>
  </si>
  <si>
    <t xml:space="preserve">Item </t>
  </si>
  <si>
    <t>FY26E</t>
  </si>
  <si>
    <t>FY27E</t>
  </si>
  <si>
    <t>FY28E</t>
  </si>
  <si>
    <t>FY29E</t>
  </si>
  <si>
    <t>FY30E</t>
  </si>
  <si>
    <t>FY31E</t>
  </si>
  <si>
    <t>Discount Factor</t>
  </si>
  <si>
    <t>PV of Discrete</t>
  </si>
  <si>
    <t>Terminal Value</t>
  </si>
  <si>
    <t>PV of Terminal</t>
  </si>
  <si>
    <t>Total Cash Flow</t>
  </si>
  <si>
    <t>FY32E</t>
  </si>
  <si>
    <t>FY33E</t>
  </si>
  <si>
    <t>FY34E</t>
  </si>
  <si>
    <t>FY35E</t>
  </si>
  <si>
    <t>FY36E</t>
  </si>
  <si>
    <t>ENTERPRISE VALUE</t>
  </si>
  <si>
    <t>PV of Teminal</t>
  </si>
  <si>
    <t xml:space="preserve">Enterprise Value </t>
  </si>
  <si>
    <t>EQUITY VALUE</t>
  </si>
  <si>
    <t>Less: Net Debt</t>
  </si>
  <si>
    <t>Equity Value</t>
  </si>
  <si>
    <t>Add: Cash</t>
  </si>
  <si>
    <t>EQUITY VALUE PER SHARE</t>
  </si>
  <si>
    <t>Shares Outstanding</t>
  </si>
  <si>
    <t>Intransic Value</t>
  </si>
  <si>
    <t>(USD/sh)</t>
  </si>
  <si>
    <t>FY2025A($000)</t>
  </si>
  <si>
    <t>FY2025A($mm)</t>
  </si>
  <si>
    <t>PREMIUM (DISCOUNT)</t>
  </si>
  <si>
    <t>Current Price</t>
  </si>
  <si>
    <t>Premium(Discount)</t>
  </si>
  <si>
    <t>Sensitivity Analysis</t>
  </si>
  <si>
    <t>Terminal Growth Rate</t>
  </si>
  <si>
    <t>WA</t>
  </si>
  <si>
    <t>CC</t>
  </si>
  <si>
    <t>PREMIUM(DISCOUNT) TO CURRENT PRICE</t>
  </si>
  <si>
    <t>FERMI INC. (NASDAQ: FRMI)</t>
  </si>
  <si>
    <t>Discounted Cash Flow Valuation Model</t>
  </si>
  <si>
    <t>Equity Research Project</t>
  </si>
  <si>
    <t>Prepared by Jingtao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</si>
</sst>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#,##0.00;\(#,##0.00\)"/>
  </numFmts>
  <fonts count="11">
    <font>
      <sz val="12"/>
      <color theme="1"/>
      <name val="Times New Roman"/>
      <family val="2"/>
      <charset val="134"/>
    </font>
    <font>
      <sz val="12"/>
      <color theme="1"/>
      <name val="Times New Roman"/>
      <family val="2"/>
      <charset val="134"/>
    </font>
    <font>
      <b/>
      <sz val="12"/>
      <color theme="1"/>
      <name val="Times New Roman"/>
      <family val="2"/>
      <charset val="134"/>
    </font>
    <font>
      <b/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Times New Roman"/>
      <family val="2"/>
      <charset val="134"/>
    </font>
    <font>
      <sz val="12"/>
      <color theme="2"/>
      <name val="Times New Roman"/>
      <family val="2"/>
      <charset val="134"/>
    </font>
    <font>
      <sz val="12"/>
      <color theme="7"/>
      <name val="Times New Roman"/>
      <family val="2"/>
      <charset val="134"/>
    </font>
    <font>
      <sz val="16"/>
      <color theme="1"/>
      <name val="Times New Roman"/>
      <family val="2"/>
      <charset val="134"/>
    </font>
    <font>
      <sz val="18"/>
      <color theme="1"/>
      <name val="Times New Roman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/>
    <xf numFmtId="2" fontId="0" fillId="0" borderId="0" xfId="1" applyNumberFormat="1" applyFont="1"/>
    <xf numFmtId="4" fontId="0" fillId="0" borderId="0" xfId="0" applyNumberFormat="1"/>
    <xf numFmtId="10" fontId="0" fillId="0" borderId="0" xfId="1" applyNumberFormat="1" applyFont="1"/>
    <xf numFmtId="175" fontId="0" fillId="0" borderId="0" xfId="0" applyNumberFormat="1"/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vertical="center"/>
    </xf>
    <xf numFmtId="0" fontId="0" fillId="0" borderId="1" xfId="0" applyBorder="1"/>
    <xf numFmtId="9" fontId="0" fillId="3" borderId="3" xfId="0" applyNumberFormat="1" applyFill="1" applyBorder="1"/>
    <xf numFmtId="0" fontId="0" fillId="0" borderId="4" xfId="0" applyBorder="1"/>
    <xf numFmtId="9" fontId="0" fillId="3" borderId="6" xfId="0" applyNumberFormat="1" applyFill="1" applyBorder="1"/>
    <xf numFmtId="0" fontId="0" fillId="0" borderId="7" xfId="0" applyBorder="1"/>
    <xf numFmtId="9" fontId="0" fillId="3" borderId="5" xfId="1" applyFont="1" applyFill="1" applyBorder="1"/>
    <xf numFmtId="0" fontId="0" fillId="0" borderId="2" xfId="0" applyBorder="1"/>
    <xf numFmtId="3" fontId="0" fillId="3" borderId="3" xfId="0" applyNumberFormat="1" applyFill="1" applyBorder="1"/>
    <xf numFmtId="0" fontId="0" fillId="0" borderId="5" xfId="0" applyBorder="1"/>
    <xf numFmtId="0" fontId="0" fillId="0" borderId="0" xfId="0" applyBorder="1"/>
    <xf numFmtId="2" fontId="0" fillId="3" borderId="6" xfId="0" applyNumberFormat="1" applyFill="1" applyBorder="1"/>
    <xf numFmtId="175" fontId="0" fillId="3" borderId="9" xfId="0" applyNumberFormat="1" applyFill="1" applyBorder="1"/>
    <xf numFmtId="175" fontId="0" fillId="3" borderId="6" xfId="0" applyNumberFormat="1" applyFill="1" applyBorder="1"/>
    <xf numFmtId="4" fontId="0" fillId="3" borderId="6" xfId="0" applyNumberFormat="1" applyFill="1" applyBorder="1"/>
    <xf numFmtId="4" fontId="0" fillId="2" borderId="3" xfId="0" applyNumberFormat="1" applyFill="1" applyBorder="1"/>
    <xf numFmtId="4" fontId="0" fillId="2" borderId="10" xfId="0" applyNumberFormat="1" applyFill="1" applyBorder="1"/>
    <xf numFmtId="4" fontId="0" fillId="2" borderId="6" xfId="0" applyNumberFormat="1" applyFill="1" applyBorder="1"/>
    <xf numFmtId="10" fontId="0" fillId="3" borderId="6" xfId="0" applyNumberFormat="1" applyFill="1" applyBorder="1"/>
    <xf numFmtId="0" fontId="4" fillId="3" borderId="0" xfId="0" applyFont="1" applyFill="1"/>
    <xf numFmtId="0" fontId="5" fillId="3" borderId="0" xfId="0" applyFont="1" applyFill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0" fillId="0" borderId="0" xfId="0" applyAlignment="1">
      <alignment horizontal="center"/>
    </xf>
    <xf numFmtId="3" fontId="7" fillId="3" borderId="8" xfId="0" applyNumberFormat="1" applyFont="1" applyFill="1" applyBorder="1"/>
    <xf numFmtId="10" fontId="8" fillId="0" borderId="0" xfId="0" applyNumberFormat="1" applyFont="1"/>
    <xf numFmtId="0" fontId="0" fillId="0" borderId="0" xfId="0" applyAlignment="1">
      <alignment horizontal="left" textRotation="180"/>
    </xf>
    <xf numFmtId="4" fontId="0" fillId="3" borderId="1" xfId="0" applyNumberFormat="1" applyFill="1" applyBorder="1"/>
    <xf numFmtId="4" fontId="0" fillId="3" borderId="2" xfId="0" applyNumberFormat="1" applyFill="1" applyBorder="1"/>
    <xf numFmtId="4" fontId="0" fillId="3" borderId="3" xfId="0" applyNumberFormat="1" applyFill="1" applyBorder="1"/>
    <xf numFmtId="4" fontId="0" fillId="3" borderId="4" xfId="0" applyNumberFormat="1" applyFill="1" applyBorder="1"/>
    <xf numFmtId="4" fontId="0" fillId="3" borderId="0" xfId="0" applyNumberFormat="1" applyFill="1"/>
    <xf numFmtId="4" fontId="0" fillId="3" borderId="9" xfId="0" applyNumberFormat="1" applyFill="1" applyBorder="1"/>
    <xf numFmtId="4" fontId="0" fillId="3" borderId="8" xfId="0" applyNumberFormat="1" applyFill="1" applyBorder="1"/>
    <xf numFmtId="4" fontId="0" fillId="3" borderId="7" xfId="0" applyNumberFormat="1" applyFill="1" applyBorder="1"/>
    <xf numFmtId="4" fontId="0" fillId="3" borderId="5" xfId="0" applyNumberFormat="1" applyFill="1" applyBorder="1"/>
    <xf numFmtId="0" fontId="9" fillId="0" borderId="0" xfId="0" applyFont="1"/>
    <xf numFmtId="4" fontId="0" fillId="3" borderId="0" xfId="0" applyNumberFormat="1" applyFill="1" applyBorder="1"/>
    <xf numFmtId="10" fontId="0" fillId="3" borderId="1" xfId="1" applyNumberFormat="1" applyFont="1" applyFill="1" applyBorder="1"/>
    <xf numFmtId="10" fontId="0" fillId="3" borderId="2" xfId="1" applyNumberFormat="1" applyFont="1" applyFill="1" applyBorder="1"/>
    <xf numFmtId="10" fontId="0" fillId="3" borderId="3" xfId="1" applyNumberFormat="1" applyFont="1" applyFill="1" applyBorder="1"/>
    <xf numFmtId="10" fontId="0" fillId="3" borderId="4" xfId="1" applyNumberFormat="1" applyFont="1" applyFill="1" applyBorder="1"/>
    <xf numFmtId="10" fontId="0" fillId="3" borderId="0" xfId="1" applyNumberFormat="1" applyFont="1" applyFill="1" applyBorder="1"/>
    <xf numFmtId="10" fontId="0" fillId="3" borderId="9" xfId="1" applyNumberFormat="1" applyFont="1" applyFill="1" applyBorder="1"/>
    <xf numFmtId="10" fontId="0" fillId="3" borderId="8" xfId="1" applyNumberFormat="1" applyFont="1" applyFill="1" applyBorder="1"/>
    <xf numFmtId="10" fontId="0" fillId="3" borderId="7" xfId="1" applyNumberFormat="1" applyFont="1" applyFill="1" applyBorder="1"/>
    <xf numFmtId="10" fontId="0" fillId="3" borderId="5" xfId="1" applyNumberFormat="1" applyFont="1" applyFill="1" applyBorder="1"/>
    <xf numFmtId="10" fontId="0" fillId="3" borderId="6" xfId="1" applyNumberFormat="1" applyFont="1" applyFill="1" applyBorder="1"/>
    <xf numFmtId="0" fontId="10" fillId="0" borderId="0" xfId="0" applyFont="1"/>
  </cellXfs>
  <cellStyles count="2">
    <cellStyle name="Normal" xfId="0" builtinId="0"/>
    <cellStyle name="Percent" xfId="1" builtinId="5"/>
  </cellStyles>
  <dxfs count="40">
    <dxf>
      <numFmt numFmtId="175" formatCode="#,##0.00;\(#,##0.00\)"/>
    </dxf>
    <dxf>
      <numFmt numFmtId="175" formatCode="#,##0.00;\(#,##0.00\)"/>
    </dxf>
    <dxf>
      <numFmt numFmtId="175" formatCode="#,##0.00;\(#,##0.00\)"/>
    </dxf>
    <dxf>
      <numFmt numFmtId="175" formatCode="#,##0.00;\(#,##0.00\)"/>
    </dxf>
    <dxf>
      <numFmt numFmtId="175" formatCode="#,##0.00;\(#,##0.00\)"/>
    </dxf>
    <dxf>
      <numFmt numFmtId="175" formatCode="#,##0.00;\(#,##0.00\)"/>
    </dxf>
    <dxf>
      <numFmt numFmtId="175" formatCode="#,##0.00;\(#,##0.00\)"/>
    </dxf>
    <dxf>
      <numFmt numFmtId="175" formatCode="#,##0.00;\(#,##0.00\)"/>
    </dxf>
    <dxf>
      <numFmt numFmtId="175" formatCode="#,##0.00;\(#,##0.00\)"/>
    </dxf>
    <dxf>
      <numFmt numFmtId="175" formatCode="#,##0.00;\(#,##0.00\)"/>
    </dxf>
    <dxf>
      <numFmt numFmtId="175" formatCode="#,##0.00;\(#,##0.00\)"/>
    </dxf>
    <dxf>
      <numFmt numFmtId="175" formatCode="#,##0.00;\(#,##0.00\)"/>
    </dxf>
    <dxf>
      <numFmt numFmtId="14" formatCode="0.0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5" formatCode="#,##0.00;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152401</xdr:rowOff>
    </xdr:from>
    <xdr:to>
      <xdr:col>15</xdr:col>
      <xdr:colOff>46755</xdr:colOff>
      <xdr:row>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01F93E-E8C5-2AA9-E224-085A9870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0" y="152401"/>
          <a:ext cx="4047255" cy="17621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6D352-85BA-467B-9A81-13E6C58986D5}" name="Table1" displayName="Table1" ref="A3:C25" totalsRowShown="0">
  <autoFilter ref="A3:C25" xr:uid="{D776D352-85BA-467B-9A81-13E6C58986D5}"/>
  <tableColumns count="3">
    <tableColumn id="1" xr3:uid="{08F4BB02-575D-4DD2-A2EC-2711BC1F5A37}" name="Item"/>
    <tableColumn id="2" xr3:uid="{1B42BC3E-1F1C-47E0-B738-66A252A4E85B}" name="FY2025A($000)" dataDxfId="39"/>
    <tableColumn id="3" xr3:uid="{07497E38-32C8-4EC0-B44D-830FE1798292}" name="FY2025A($mm)" dataDxfId="0">
      <calculatedColumnFormula>Table1[[#This Row],[FY2025A($000)]]/1000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C6D830-7DCD-4BE6-B6B3-9AC5D3621F95}" name="Table2" displayName="Table2" ref="A1:L15" totalsRowShown="0" headerRowDxfId="28">
  <autoFilter ref="A1:L15" xr:uid="{1AC6D830-7DCD-4BE6-B6B3-9AC5D3621F95}"/>
  <tableColumns count="12">
    <tableColumn id="1" xr3:uid="{B02834EE-9BF4-43AE-9FF0-3AA6987EAC62}" name="Operating Assumptions"/>
    <tableColumn id="2" xr3:uid="{BC3F7FDD-5AD0-4461-8CC9-214E72231224}" name="2026E" dataDxfId="38"/>
    <tableColumn id="3" xr3:uid="{A2AA4A9F-EE33-4EA7-AD94-888266B7B5D1}" name="2027E" dataDxfId="37"/>
    <tableColumn id="4" xr3:uid="{9076A6E7-D300-48D4-A0F2-8E1F00DDD1B5}" name="2028E" dataDxfId="36"/>
    <tableColumn id="5" xr3:uid="{5BEF6903-51A9-4AB3-BC6E-3735BC11675E}" name="2029E" dataDxfId="35"/>
    <tableColumn id="6" xr3:uid="{371B4F15-E28E-4BC4-BDCE-D5D8772BB81F}" name="2030E" dataDxfId="34"/>
    <tableColumn id="7" xr3:uid="{0C1AD94D-0BA4-4733-9EB4-25553F030F7E}" name="2031E" dataDxfId="33"/>
    <tableColumn id="8" xr3:uid="{67FA8F7C-329C-47A9-AA11-71A7C84820DF}" name="2032E" dataDxfId="32"/>
    <tableColumn id="9" xr3:uid="{664A6590-EECD-4870-9F64-BC9B59D9E0C8}" name="2033E" dataDxfId="31"/>
    <tableColumn id="10" xr3:uid="{B3A271E2-1F5E-418E-8B54-0A14DD574542}" name="2034E" dataDxfId="30"/>
    <tableColumn id="11" xr3:uid="{7F93A425-159B-4660-A914-FCE5BCF8E028}" name="2035E" dataDxfId="29"/>
    <tableColumn id="12" xr3:uid="{FEB3BC97-5636-49CA-8A0C-FD206BE22B91}" name="Source 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1C2173-DBB8-4B9E-9B1B-337F21038305}" name="Table3" displayName="Table3" ref="A1:K14" totalsRowShown="0">
  <autoFilter ref="A1:K14" xr:uid="{3B1C2173-DBB8-4B9E-9B1B-337F21038305}"/>
  <tableColumns count="11">
    <tableColumn id="1" xr3:uid="{DEE44A8A-4B19-4E0B-96B5-AB09F5602BA8}" name="Item"/>
    <tableColumn id="2" xr3:uid="{8B17A9CC-EF15-4B4D-8F28-29C9C3BDAFAB}" name="FY2026E" dataDxfId="27"/>
    <tableColumn id="3" xr3:uid="{44FCDA34-38C4-4BB8-895E-DE977E91E06C}" name="FY2027E" dataDxfId="26"/>
    <tableColumn id="4" xr3:uid="{42BFAB5C-BDB0-41BC-9EA1-76E1CDFAE033}" name="FY2028E" dataDxfId="25"/>
    <tableColumn id="5" xr3:uid="{864C0D29-94A5-4BAF-AABF-4C216C57268F}" name="FY2029E" dataDxfId="24"/>
    <tableColumn id="6" xr3:uid="{D46652A8-01E3-4DB6-8F83-4EE5DD5D130B}" name="FY2030E" dataDxfId="23"/>
    <tableColumn id="7" xr3:uid="{F7CCAF6A-8142-41D8-9E33-6D047637DBB1}" name="FY2031E" dataDxfId="22"/>
    <tableColumn id="8" xr3:uid="{899B69A6-E1E3-47F2-9518-871021531EDF}" name="FY2032E" dataDxfId="21"/>
    <tableColumn id="9" xr3:uid="{D0F1EBA4-9C90-4A1F-8003-6A8D593E2171}" name="FY2033E" dataDxfId="20"/>
    <tableColumn id="10" xr3:uid="{C123A179-BF17-41EB-824A-8C8CE043533E}" name="FY2034E" dataDxfId="19"/>
    <tableColumn id="11" xr3:uid="{A61732CD-C7DC-4220-B698-19ED82C17F9B}" name="FY2035E" dataDxfId="18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11B217-E12B-4949-821D-C9060D873433}" name="Table4" displayName="Table4" ref="A1:C11" totalsRowShown="0" headerRowDxfId="16">
  <autoFilter ref="A1:C11" xr:uid="{1711B217-E12B-4949-821D-C9060D873433}"/>
  <tableColumns count="3">
    <tableColumn id="1" xr3:uid="{33E69662-EDB0-440C-A31A-E430F77592AD}" name="WACC Assumptions"/>
    <tableColumn id="2" xr3:uid="{19993882-5403-407E-8C9B-BE3DFEBCA7C2}" name="Value" dataDxfId="17"/>
    <tableColumn id="3" xr3:uid="{716FAD3F-E07B-4106-AADE-932BC985E2C7}" name="Sourc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D35C18-7C0E-4688-BDA4-68036CDDC679}" name="Table5" displayName="Table5" ref="A1:B3" totalsRowShown="0" headerRowDxfId="15" dataDxfId="14">
  <autoFilter ref="A1:B3" xr:uid="{59D35C18-7C0E-4688-BDA4-68036CDDC679}"/>
  <tableColumns count="2">
    <tableColumn id="1" xr3:uid="{C6BD94C6-D912-44E8-BBC1-C1CCCBE95541}" name="WACC&amp; Terminal" dataDxfId="13"/>
    <tableColumn id="2" xr3:uid="{782CE711-F88E-42BE-8D16-6B5831302000}" name="Value" dataDxfId="12">
      <calculatedColumnFormula>2.5%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8E5877-746B-41EB-AEDE-9DD5DE115CBC}" name="Table37" displayName="Table37" ref="A6:L12" totalsRowShown="0">
  <autoFilter ref="A6:L12" xr:uid="{988E5877-746B-41EB-AEDE-9DD5DE115CBC}"/>
  <tableColumns count="12">
    <tableColumn id="1" xr3:uid="{FDF33473-FCA5-426D-BEA6-A60FAD70B5F9}" name="Item "/>
    <tableColumn id="2" xr3:uid="{38FDCC32-73F2-4F67-BC5A-B0E8352F9020}" name="FY26E" dataDxfId="11">
      <calculatedColumnFormula>'Operating Forecast'!B14</calculatedColumnFormula>
    </tableColumn>
    <tableColumn id="3" xr3:uid="{EADE00D2-E93F-4D02-9909-2169375C67EF}" name="FY27E" dataDxfId="10"/>
    <tableColumn id="4" xr3:uid="{5544785D-5D64-466A-9A9F-F0B18C98D012}" name="FY28E" dataDxfId="9"/>
    <tableColumn id="5" xr3:uid="{6F8FF17E-B684-45EC-801E-5C745A34B332}" name="FY29E" dataDxfId="8"/>
    <tableColumn id="6" xr3:uid="{09DC0A3B-BE30-410D-960A-C1CA96E2103B}" name="FY30E" dataDxfId="7"/>
    <tableColumn id="7" xr3:uid="{002B39AA-1E33-4F59-9EA2-855D61988E5F}" name="FY31E" dataDxfId="6">
      <calculatedColumnFormula>Table37[[#This Row],[FY30E]]*(1+#REF!)</calculatedColumnFormula>
    </tableColumn>
    <tableColumn id="8" xr3:uid="{7B49191B-BA4C-4C77-BF58-8348D2AE1A23}" name="FY32E" dataDxfId="5"/>
    <tableColumn id="9" xr3:uid="{DAEB8B0A-5E61-4563-BC63-213DE05B3845}" name="FY33E" dataDxfId="4"/>
    <tableColumn id="10" xr3:uid="{7B83E60F-FCAD-412C-8AC9-35EBDC58E15E}" name="FY34E" dataDxfId="3"/>
    <tableColumn id="11" xr3:uid="{907DF7F4-3C16-4F68-9915-96EA70C3098B}" name="FY35E" dataDxfId="2"/>
    <tableColumn id="12" xr3:uid="{05AB51A3-90B1-486A-A3D1-79A76AF3E011}" name="FY36E" dataDxfId="1">
      <calculatedColumnFormula>Table37[[#This Row],[FY35E]]*(1+B3)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F1F8-863A-4A9D-8BD8-9C2E382A6F37}">
  <dimension ref="A19:N29"/>
  <sheetViews>
    <sheetView showGridLines="0" workbookViewId="0">
      <selection activeCell="T19" sqref="T19"/>
    </sheetView>
  </sheetViews>
  <sheetFormatPr defaultRowHeight="15.75"/>
  <sheetData>
    <row r="19" spans="1:14" ht="20.25">
      <c r="K19" s="47" t="s">
        <v>132</v>
      </c>
      <c r="L19" s="47"/>
      <c r="M19" s="47"/>
      <c r="N19" s="47"/>
    </row>
    <row r="20" spans="1:14" ht="20.25">
      <c r="K20" s="47"/>
      <c r="L20" s="47"/>
      <c r="M20" s="47"/>
      <c r="N20" s="47"/>
    </row>
    <row r="21" spans="1:14" ht="20.25">
      <c r="K21" s="47" t="s">
        <v>133</v>
      </c>
      <c r="L21" s="47"/>
      <c r="M21" s="47"/>
      <c r="N21" s="47"/>
    </row>
    <row r="22" spans="1:14" ht="20.25">
      <c r="K22" s="47"/>
      <c r="L22" s="47"/>
      <c r="M22" s="47"/>
      <c r="N22" s="47"/>
    </row>
    <row r="23" spans="1:14" ht="20.25">
      <c r="K23" s="47" t="s">
        <v>134</v>
      </c>
      <c r="L23" s="47"/>
      <c r="M23" s="47"/>
      <c r="N23" s="47"/>
    </row>
    <row r="24" spans="1:14" ht="20.25">
      <c r="K24" s="47"/>
      <c r="L24" s="47"/>
      <c r="M24" s="47"/>
      <c r="N24" s="47"/>
    </row>
    <row r="25" spans="1:14" ht="20.25">
      <c r="K25" s="47" t="s">
        <v>135</v>
      </c>
      <c r="L25" s="47"/>
      <c r="M25" s="47"/>
      <c r="N25" s="47"/>
    </row>
    <row r="26" spans="1:14" ht="20.25">
      <c r="K26" s="47"/>
      <c r="L26" s="47"/>
      <c r="M26" s="47"/>
      <c r="N26" s="47"/>
    </row>
    <row r="29" spans="1:14" ht="23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B281-51E0-42A7-9BCC-39CB01360FE7}">
  <dimension ref="A1:C25"/>
  <sheetViews>
    <sheetView workbookViewId="0">
      <selection activeCell="C27" sqref="C27"/>
    </sheetView>
  </sheetViews>
  <sheetFormatPr defaultRowHeight="15.75"/>
  <cols>
    <col min="1" max="1" width="27.625" bestFit="1" customWidth="1"/>
    <col min="2" max="2" width="16" bestFit="1" customWidth="1"/>
    <col min="3" max="3" width="17" bestFit="1" customWidth="1"/>
  </cols>
  <sheetData>
    <row r="1" spans="1:3">
      <c r="A1" t="s">
        <v>0</v>
      </c>
    </row>
    <row r="3" spans="1:3">
      <c r="A3" t="s">
        <v>1</v>
      </c>
      <c r="B3" t="s">
        <v>122</v>
      </c>
      <c r="C3" t="s">
        <v>123</v>
      </c>
    </row>
    <row r="4" spans="1:3">
      <c r="A4" t="s">
        <v>2</v>
      </c>
      <c r="B4" s="9">
        <v>0</v>
      </c>
      <c r="C4" s="9">
        <f>Table1[[#This Row],[FY2025A($000)]]/1000</f>
        <v>0</v>
      </c>
    </row>
    <row r="5" spans="1:3">
      <c r="A5" t="s">
        <v>3</v>
      </c>
      <c r="B5" s="9">
        <v>-177779</v>
      </c>
      <c r="C5" s="9">
        <f>Table1[[#This Row],[FY2025A($000)]]/1000</f>
        <v>-177.779</v>
      </c>
    </row>
    <row r="6" spans="1:3">
      <c r="A6" t="s">
        <v>4</v>
      </c>
      <c r="B6" s="9">
        <v>-177779</v>
      </c>
      <c r="C6" s="9">
        <f>Table1[[#This Row],[FY2025A($000)]]/1000</f>
        <v>-177.779</v>
      </c>
    </row>
    <row r="7" spans="1:3">
      <c r="A7" t="s">
        <v>5</v>
      </c>
      <c r="B7" s="9">
        <v>-486379</v>
      </c>
      <c r="C7" s="9">
        <f>Table1[[#This Row],[FY2025A($000)]]/1000</f>
        <v>-486.37900000000002</v>
      </c>
    </row>
    <row r="8" spans="1:3">
      <c r="A8" t="s">
        <v>6</v>
      </c>
      <c r="B8" s="9">
        <f>700</f>
        <v>700</v>
      </c>
      <c r="C8" s="9">
        <f>Table1[[#This Row],[FY2025A($000)]]/1000</f>
        <v>0.7</v>
      </c>
    </row>
    <row r="9" spans="1:3">
      <c r="A9" t="s">
        <v>20</v>
      </c>
      <c r="B9" s="9">
        <v>4400</v>
      </c>
      <c r="C9" s="9">
        <f>Table1[[#This Row],[FY2025A($000)]]/1000</f>
        <v>4.4000000000000004</v>
      </c>
    </row>
    <row r="10" spans="1:3">
      <c r="A10" t="s">
        <v>21</v>
      </c>
      <c r="B10" s="9">
        <v>18400</v>
      </c>
      <c r="C10" s="9">
        <f>Table1[[#This Row],[FY2025A($000)]]/1000</f>
        <v>18.399999999999999</v>
      </c>
    </row>
    <row r="11" spans="1:3">
      <c r="A11" t="s">
        <v>7</v>
      </c>
      <c r="B11" s="9">
        <v>0</v>
      </c>
      <c r="C11" s="9">
        <f>Table1[[#This Row],[FY2025A($000)]]/1000</f>
        <v>0</v>
      </c>
    </row>
    <row r="12" spans="1:3">
      <c r="A12" t="s">
        <v>8</v>
      </c>
      <c r="B12" s="9">
        <v>0</v>
      </c>
      <c r="C12" s="9">
        <f>Table1[[#This Row],[FY2025A($000)]]/1000</f>
        <v>0</v>
      </c>
    </row>
    <row r="13" spans="1:3">
      <c r="A13" t="s">
        <v>9</v>
      </c>
      <c r="B13" s="9">
        <f>3616+129129</f>
        <v>132745</v>
      </c>
      <c r="C13" s="9">
        <f>Table1[[#This Row],[FY2025A($000)]]/1000</f>
        <v>132.745</v>
      </c>
    </row>
    <row r="14" spans="1:3">
      <c r="A14" t="s">
        <v>10</v>
      </c>
      <c r="B14" s="9">
        <v>-34151</v>
      </c>
      <c r="C14" s="9">
        <f>Table1[[#This Row],[FY2025A($000)]]/1000</f>
        <v>-34.151000000000003</v>
      </c>
    </row>
    <row r="15" spans="1:3">
      <c r="A15" t="s">
        <v>11</v>
      </c>
      <c r="B15" s="9">
        <v>-569304</v>
      </c>
      <c r="C15" s="9">
        <f>Table1[[#This Row],[FY2025A($000)]]/1000</f>
        <v>-569.30399999999997</v>
      </c>
    </row>
    <row r="16" spans="1:3">
      <c r="A16" t="s">
        <v>12</v>
      </c>
      <c r="B16" s="9">
        <v>408529</v>
      </c>
      <c r="C16" s="9">
        <f>Table1[[#This Row],[FY2025A($000)]]/1000</f>
        <v>408.529</v>
      </c>
    </row>
    <row r="17" spans="1:3">
      <c r="A17" t="s">
        <v>13</v>
      </c>
      <c r="B17" s="9">
        <v>99300</v>
      </c>
      <c r="C17" s="9">
        <f>Table1[[#This Row],[FY2025A($000)]]/1000</f>
        <v>99.3</v>
      </c>
    </row>
    <row r="18" spans="1:3">
      <c r="A18" t="s">
        <v>14</v>
      </c>
      <c r="B18" s="9">
        <v>0</v>
      </c>
      <c r="C18" s="9">
        <f>Table1[[#This Row],[FY2025A($000)]]/1000</f>
        <v>0</v>
      </c>
    </row>
    <row r="19" spans="1:3">
      <c r="A19" t="s">
        <v>15</v>
      </c>
      <c r="B19" s="9">
        <v>47753</v>
      </c>
      <c r="C19" s="9">
        <f>Table1[[#This Row],[FY2025A($000)]]/1000</f>
        <v>47.753</v>
      </c>
    </row>
    <row r="20" spans="1:3">
      <c r="A20" t="s">
        <v>22</v>
      </c>
      <c r="B20" s="9">
        <v>176572</v>
      </c>
      <c r="C20" s="9">
        <f>Table1[[#This Row],[FY2025A($000)]]/1000</f>
        <v>176.572</v>
      </c>
    </row>
    <row r="21" spans="1:3">
      <c r="A21" t="s">
        <v>16</v>
      </c>
      <c r="B21" s="9">
        <v>935295</v>
      </c>
      <c r="C21" s="9">
        <f>Table1[[#This Row],[FY2025A($000)]]/1000</f>
        <v>935.29499999999996</v>
      </c>
    </row>
    <row r="22" spans="1:3">
      <c r="A22" t="s">
        <v>17</v>
      </c>
      <c r="B22" s="9"/>
      <c r="C22" s="9">
        <f>Table1[[#This Row],[FY2025A($000)]]/1000</f>
        <v>0</v>
      </c>
    </row>
    <row r="23" spans="1:3">
      <c r="A23" t="s">
        <v>23</v>
      </c>
      <c r="B23" s="9">
        <v>109799</v>
      </c>
      <c r="C23" s="9">
        <f>Table1[[#This Row],[FY2025A($000)]]/1000</f>
        <v>109.79900000000001</v>
      </c>
    </row>
    <row r="24" spans="1:3">
      <c r="A24" t="s">
        <v>18</v>
      </c>
      <c r="B24" s="9">
        <v>629839790</v>
      </c>
      <c r="C24" s="9">
        <f>Table1[[#This Row],[FY2025A($000)]]/1000000</f>
        <v>629.83978999999999</v>
      </c>
    </row>
    <row r="25" spans="1:3">
      <c r="A25" t="s">
        <v>19</v>
      </c>
      <c r="B25" s="9">
        <v>629839790</v>
      </c>
      <c r="C25" s="9">
        <f>Table1[[#This Row],[FY2025A($000)]]/1000000</f>
        <v>629.83978999999999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533-DD1C-4E89-968C-BEFF29C9EC58}">
  <dimension ref="A1:L15"/>
  <sheetViews>
    <sheetView workbookViewId="0">
      <selection activeCell="H24" sqref="H24"/>
    </sheetView>
  </sheetViews>
  <sheetFormatPr defaultRowHeight="15.75"/>
  <cols>
    <col min="1" max="1" width="23" bestFit="1" customWidth="1"/>
    <col min="2" max="2" width="8" customWidth="1"/>
    <col min="3" max="8" width="8.125" bestFit="1" customWidth="1"/>
    <col min="9" max="11" width="9.125" bestFit="1" customWidth="1"/>
    <col min="12" max="12" width="45.375" bestFit="1" customWidth="1"/>
  </cols>
  <sheetData>
    <row r="1" spans="1:12">
      <c r="A1" s="1" t="s">
        <v>24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34</v>
      </c>
    </row>
    <row r="2" spans="1:12">
      <c r="A2" t="s">
        <v>25</v>
      </c>
      <c r="B2" s="7">
        <v>200</v>
      </c>
      <c r="C2" s="7">
        <v>1500</v>
      </c>
      <c r="D2" s="7">
        <v>2500</v>
      </c>
      <c r="E2" s="7">
        <v>3500</v>
      </c>
      <c r="F2" s="7">
        <v>4500</v>
      </c>
      <c r="G2" s="7">
        <v>5500</v>
      </c>
      <c r="H2" s="7">
        <v>6500</v>
      </c>
      <c r="I2" s="7">
        <v>8000</v>
      </c>
      <c r="J2" s="7">
        <v>9000</v>
      </c>
      <c r="K2" s="7">
        <v>10000</v>
      </c>
      <c r="L2" t="s">
        <v>35</v>
      </c>
    </row>
    <row r="3" spans="1:12">
      <c r="A3" t="s">
        <v>31</v>
      </c>
      <c r="B3" s="2">
        <v>0.5</v>
      </c>
      <c r="C3" s="2">
        <v>0.75</v>
      </c>
      <c r="D3" s="2">
        <v>0.85</v>
      </c>
      <c r="E3" s="2">
        <v>0.9</v>
      </c>
      <c r="F3" s="2">
        <v>0.95</v>
      </c>
      <c r="G3" s="2">
        <v>0.95</v>
      </c>
      <c r="H3" s="2">
        <v>0.96</v>
      </c>
      <c r="I3" s="2">
        <v>0.96</v>
      </c>
      <c r="J3" s="2">
        <v>0.97</v>
      </c>
      <c r="K3" s="2">
        <v>0.97</v>
      </c>
      <c r="L3" t="s">
        <v>36</v>
      </c>
    </row>
    <row r="4" spans="1:12">
      <c r="A4" t="s">
        <v>32</v>
      </c>
      <c r="B4" s="7">
        <v>140</v>
      </c>
      <c r="C4" s="7">
        <f>B4*(1+B5)</f>
        <v>143.5</v>
      </c>
      <c r="D4" s="7">
        <f t="shared" ref="D4:K4" si="0">C4*(1+C5)</f>
        <v>147.08749999999998</v>
      </c>
      <c r="E4" s="7">
        <f t="shared" si="0"/>
        <v>150.76468749999995</v>
      </c>
      <c r="F4" s="7">
        <f t="shared" si="0"/>
        <v>154.53380468749992</v>
      </c>
      <c r="G4" s="7">
        <f t="shared" si="0"/>
        <v>158.39714980468742</v>
      </c>
      <c r="H4" s="7">
        <f t="shared" si="0"/>
        <v>162.35707854980458</v>
      </c>
      <c r="I4" s="7">
        <f t="shared" si="0"/>
        <v>166.41600551354969</v>
      </c>
      <c r="J4" s="7">
        <f t="shared" si="0"/>
        <v>170.57640565138843</v>
      </c>
      <c r="K4" s="7">
        <f t="shared" si="0"/>
        <v>174.84081579267311</v>
      </c>
      <c r="L4" t="s">
        <v>46</v>
      </c>
    </row>
    <row r="5" spans="1:12">
      <c r="A5" t="s">
        <v>33</v>
      </c>
      <c r="B5" s="3">
        <v>2.5000000000000001E-2</v>
      </c>
      <c r="C5" s="3">
        <v>2.5000000000000001E-2</v>
      </c>
      <c r="D5" s="3">
        <v>2.5000000000000001E-2</v>
      </c>
      <c r="E5" s="3">
        <v>2.5000000000000001E-2</v>
      </c>
      <c r="F5" s="3">
        <v>2.5000000000000001E-2</v>
      </c>
      <c r="G5" s="3">
        <v>2.5000000000000001E-2</v>
      </c>
      <c r="H5" s="3">
        <v>2.5000000000000001E-2</v>
      </c>
      <c r="I5" s="3">
        <v>2.5000000000000001E-2</v>
      </c>
      <c r="J5" s="3">
        <v>2.5000000000000001E-2</v>
      </c>
      <c r="K5" s="3">
        <v>2.5000000000000001E-2</v>
      </c>
      <c r="L5" t="s">
        <v>36</v>
      </c>
    </row>
    <row r="6" spans="1:12">
      <c r="A6" t="s">
        <v>45</v>
      </c>
      <c r="B6" s="6">
        <f>B4*1000*12/1000000</f>
        <v>1.68</v>
      </c>
      <c r="C6" s="6">
        <f t="shared" ref="C6:K6" si="1">C4*1000*12/1000000</f>
        <v>1.722</v>
      </c>
      <c r="D6" s="6">
        <f t="shared" si="1"/>
        <v>1.7650499999999996</v>
      </c>
      <c r="E6" s="6">
        <f t="shared" si="1"/>
        <v>1.8091762499999993</v>
      </c>
      <c r="F6" s="6">
        <f t="shared" si="1"/>
        <v>1.8544056562499991</v>
      </c>
      <c r="G6" s="6">
        <f t="shared" si="1"/>
        <v>1.9007657976562491</v>
      </c>
      <c r="H6" s="6">
        <f t="shared" si="1"/>
        <v>1.9482849425976549</v>
      </c>
      <c r="I6" s="6">
        <f t="shared" si="1"/>
        <v>1.9969920661625964</v>
      </c>
      <c r="J6" s="6">
        <f t="shared" si="1"/>
        <v>2.0469168678166612</v>
      </c>
      <c r="K6" s="6">
        <f t="shared" si="1"/>
        <v>2.0980897895120774</v>
      </c>
    </row>
    <row r="7" spans="1:12">
      <c r="B7" s="3"/>
      <c r="C7" s="3"/>
      <c r="D7" s="3"/>
      <c r="E7" s="3"/>
      <c r="F7" s="3"/>
      <c r="G7" s="3"/>
      <c r="H7" s="3"/>
      <c r="I7" s="3"/>
      <c r="J7" s="3"/>
      <c r="K7" s="3"/>
    </row>
    <row r="8" spans="1:12">
      <c r="A8" s="1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2">
      <c r="A9" t="s">
        <v>43</v>
      </c>
      <c r="B9" s="7">
        <v>2.8</v>
      </c>
      <c r="C9" s="7">
        <v>2.7</v>
      </c>
      <c r="D9" s="7">
        <v>2.6</v>
      </c>
      <c r="E9" s="7">
        <v>2.5</v>
      </c>
      <c r="F9" s="7">
        <v>2.4</v>
      </c>
      <c r="G9" s="7">
        <v>2.35</v>
      </c>
      <c r="H9" s="7">
        <v>2.2999999999999998</v>
      </c>
      <c r="I9" s="7">
        <v>2.25</v>
      </c>
      <c r="J9" s="7">
        <v>2.2000000000000002</v>
      </c>
      <c r="K9" s="7">
        <v>2.2000000000000002</v>
      </c>
      <c r="L9" t="s">
        <v>47</v>
      </c>
    </row>
    <row r="10" spans="1:12"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2">
      <c r="A11" s="1" t="s">
        <v>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2">
      <c r="A12" t="s">
        <v>37</v>
      </c>
      <c r="B12" s="3">
        <v>-0.8</v>
      </c>
      <c r="C12" s="3">
        <v>-0.3</v>
      </c>
      <c r="D12" s="3">
        <v>0.05</v>
      </c>
      <c r="E12" s="3">
        <v>0.15</v>
      </c>
      <c r="F12" s="3">
        <v>0.25</v>
      </c>
      <c r="G12" s="3">
        <v>0.28000000000000003</v>
      </c>
      <c r="H12" s="3">
        <v>0.3</v>
      </c>
      <c r="I12" s="3">
        <v>0.31</v>
      </c>
      <c r="J12" s="3">
        <v>0.32</v>
      </c>
      <c r="K12" s="3">
        <v>0.32</v>
      </c>
      <c r="L12" t="s">
        <v>44</v>
      </c>
    </row>
    <row r="13" spans="1:12">
      <c r="A13" t="s">
        <v>38</v>
      </c>
      <c r="B13" s="3">
        <v>0</v>
      </c>
      <c r="C13" s="3">
        <v>0</v>
      </c>
      <c r="D13" s="3">
        <v>0.21</v>
      </c>
      <c r="E13" s="3">
        <v>0.21</v>
      </c>
      <c r="F13" s="3">
        <v>0.21</v>
      </c>
      <c r="G13" s="3">
        <v>0.21</v>
      </c>
      <c r="H13" s="3">
        <v>0.21</v>
      </c>
      <c r="I13" s="3">
        <v>0.21</v>
      </c>
      <c r="J13" s="3">
        <v>0.21</v>
      </c>
      <c r="K13" s="3">
        <v>0.21</v>
      </c>
    </row>
    <row r="14" spans="1:12">
      <c r="A14" t="s">
        <v>39</v>
      </c>
      <c r="B14" s="3">
        <v>0.05</v>
      </c>
      <c r="C14" s="3">
        <v>0.06</v>
      </c>
      <c r="D14" s="3">
        <v>7.0000000000000007E-2</v>
      </c>
      <c r="E14" s="3">
        <v>7.0000000000000007E-2</v>
      </c>
      <c r="F14" s="3">
        <v>7.0000000000000007E-2</v>
      </c>
      <c r="G14" s="3">
        <v>7.0000000000000007E-2</v>
      </c>
      <c r="H14" s="3">
        <v>7.0000000000000007E-2</v>
      </c>
      <c r="I14" s="3">
        <v>7.0000000000000007E-2</v>
      </c>
      <c r="J14" s="3">
        <v>7.0000000000000007E-2</v>
      </c>
      <c r="K14" s="3">
        <v>7.0000000000000007E-2</v>
      </c>
      <c r="L14" t="s">
        <v>36</v>
      </c>
    </row>
    <row r="15" spans="1:12">
      <c r="A15" t="s">
        <v>40</v>
      </c>
      <c r="B15" s="3">
        <v>0.05</v>
      </c>
      <c r="C15" s="3">
        <v>0.05</v>
      </c>
      <c r="D15" s="3">
        <v>0.05</v>
      </c>
      <c r="E15" s="3">
        <v>0.05</v>
      </c>
      <c r="F15" s="3">
        <v>0.05</v>
      </c>
      <c r="G15" s="3">
        <v>0.05</v>
      </c>
      <c r="H15" s="3">
        <v>0.05</v>
      </c>
      <c r="I15" s="3">
        <v>0.05</v>
      </c>
      <c r="J15" s="3">
        <v>0.05</v>
      </c>
      <c r="K15" s="3">
        <v>0.05</v>
      </c>
      <c r="L15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BB83-17EC-41BA-A33C-D37385A15F82}">
  <dimension ref="A1:K14"/>
  <sheetViews>
    <sheetView workbookViewId="0">
      <selection activeCell="K18" sqref="K18"/>
    </sheetView>
  </sheetViews>
  <sheetFormatPr defaultRowHeight="15.75"/>
  <cols>
    <col min="1" max="1" width="16.125" bestFit="1" customWidth="1"/>
    <col min="2" max="2" width="12.75" customWidth="1"/>
    <col min="3" max="3" width="12.125" bestFit="1" customWidth="1"/>
    <col min="4" max="5" width="11.375" bestFit="1" customWidth="1"/>
    <col min="6" max="6" width="12.375" bestFit="1" customWidth="1"/>
    <col min="7" max="11" width="10.375" customWidth="1"/>
  </cols>
  <sheetData>
    <row r="1" spans="1:11">
      <c r="A1" t="s">
        <v>1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</row>
    <row r="2" spans="1:11">
      <c r="A2" t="s">
        <v>48</v>
      </c>
      <c r="B2" s="5">
        <f>'Operating Assumptions'!B2*'Operating Assumptions'!B3*'Operating Assumptions'!B6</f>
        <v>168</v>
      </c>
      <c r="C2" s="5">
        <f>'Operating Assumptions'!C2*'Operating Assumptions'!C3*'Operating Assumptions'!C6</f>
        <v>1937.25</v>
      </c>
      <c r="D2" s="5">
        <f>'Operating Assumptions'!D2*'Operating Assumptions'!D3*'Operating Assumptions'!D6</f>
        <v>3750.7312499999989</v>
      </c>
      <c r="E2" s="5">
        <f>'Operating Assumptions'!E2*'Operating Assumptions'!E3*'Operating Assumptions'!E6</f>
        <v>5698.9051874999977</v>
      </c>
      <c r="F2" s="5">
        <f>'Operating Assumptions'!F2*'Operating Assumptions'!F3*'Operating Assumptions'!F6</f>
        <v>7927.5841804687461</v>
      </c>
      <c r="G2" s="5">
        <f>'Operating Assumptions'!G2*'Operating Assumptions'!G3*'Operating Assumptions'!G6</f>
        <v>9931.501292753901</v>
      </c>
      <c r="H2" s="5">
        <f>'Operating Assumptions'!H2*'Operating Assumptions'!H3*'Operating Assumptions'!H6</f>
        <v>12157.298041809367</v>
      </c>
      <c r="I2" s="5">
        <f>'Operating Assumptions'!I2*'Operating Assumptions'!I3*'Operating Assumptions'!I6</f>
        <v>15336.89906812874</v>
      </c>
      <c r="J2" s="5">
        <f>'Operating Assumptions'!J2*'Operating Assumptions'!J3*'Operating Assumptions'!J6</f>
        <v>17869.584256039452</v>
      </c>
      <c r="K2" s="5">
        <f>'Operating Assumptions'!K2*'Operating Assumptions'!K3*'Operating Assumptions'!K6</f>
        <v>20351.470958267149</v>
      </c>
    </row>
    <row r="3" spans="1:11">
      <c r="A3" t="s">
        <v>49</v>
      </c>
      <c r="B3" s="3" t="str">
        <f>IFERROR(B2/#REF!-1, "N/A")</f>
        <v>N/A</v>
      </c>
      <c r="C3" s="8" t="s">
        <v>72</v>
      </c>
      <c r="D3" s="8">
        <f t="shared" ref="D3:F14" si="0">D2/C2-1</f>
        <v>0.93611111111111045</v>
      </c>
      <c r="E3" s="8">
        <f t="shared" si="0"/>
        <v>0.51941176470588224</v>
      </c>
      <c r="F3" s="8">
        <f t="shared" si="0"/>
        <v>0.39107142857142851</v>
      </c>
      <c r="G3" s="8">
        <f>G2/F2-1</f>
        <v>0.25277777777777777</v>
      </c>
      <c r="H3" s="8">
        <f>H2/G2-1</f>
        <v>0.22411483253588504</v>
      </c>
      <c r="I3" s="8">
        <f>I2/H2-1</f>
        <v>0.2615384615384615</v>
      </c>
      <c r="J3" s="8">
        <f>J2/I2-1</f>
        <v>0.16513671874999991</v>
      </c>
      <c r="K3" s="8">
        <f>K2/J2-1</f>
        <v>0.13888888888888862</v>
      </c>
    </row>
    <row r="4" spans="1:11">
      <c r="A4" t="s">
        <v>37</v>
      </c>
      <c r="B4" s="3">
        <f>'Operating Assumptions'!B12</f>
        <v>-0.8</v>
      </c>
      <c r="C4" s="3">
        <f>'Operating Assumptions'!C12</f>
        <v>-0.3</v>
      </c>
      <c r="D4" s="3">
        <f>'Operating Assumptions'!D12</f>
        <v>0.05</v>
      </c>
      <c r="E4" s="3">
        <f>'Operating Assumptions'!E12</f>
        <v>0.15</v>
      </c>
      <c r="F4" s="3">
        <f>'Operating Assumptions'!F12</f>
        <v>0.25</v>
      </c>
      <c r="G4" s="3">
        <f>'Operating Assumptions'!G12</f>
        <v>0.28000000000000003</v>
      </c>
      <c r="H4" s="3">
        <f>'Operating Assumptions'!H12</f>
        <v>0.3</v>
      </c>
      <c r="I4" s="3">
        <f>'Operating Assumptions'!I12</f>
        <v>0.31</v>
      </c>
      <c r="J4" s="3">
        <f>'Operating Assumptions'!J12</f>
        <v>0.32</v>
      </c>
      <c r="K4" s="3">
        <f>'Operating Assumptions'!K12</f>
        <v>0.32</v>
      </c>
    </row>
    <row r="5" spans="1:11">
      <c r="A5" t="s">
        <v>50</v>
      </c>
      <c r="B5" s="5">
        <f>B2*B4</f>
        <v>-134.4</v>
      </c>
      <c r="C5" s="5">
        <f>C2*C4</f>
        <v>-581.17499999999995</v>
      </c>
      <c r="D5" s="5">
        <f>D2*D4</f>
        <v>187.53656249999995</v>
      </c>
      <c r="E5" s="5">
        <f>E2*E4</f>
        <v>854.83577812499959</v>
      </c>
      <c r="F5" s="5">
        <f>F2*F4</f>
        <v>1981.8960451171865</v>
      </c>
      <c r="G5" s="5">
        <f t="shared" ref="G5:K5" si="1">G2*G4</f>
        <v>2780.8203619710926</v>
      </c>
      <c r="H5" s="5">
        <f t="shared" si="1"/>
        <v>3647.1894125428098</v>
      </c>
      <c r="I5" s="5">
        <f t="shared" si="1"/>
        <v>4754.4387111199094</v>
      </c>
      <c r="J5" s="5">
        <f t="shared" si="1"/>
        <v>5718.2669619326252</v>
      </c>
      <c r="K5" s="5">
        <f t="shared" si="1"/>
        <v>6512.4707066454876</v>
      </c>
    </row>
    <row r="6" spans="1:11">
      <c r="A6" t="s">
        <v>38</v>
      </c>
      <c r="B6" s="3">
        <f>'Operating Assumptions'!B13</f>
        <v>0</v>
      </c>
      <c r="C6" s="3">
        <f>'Operating Assumptions'!C13</f>
        <v>0</v>
      </c>
      <c r="D6" s="3">
        <f>'Operating Assumptions'!D13</f>
        <v>0.21</v>
      </c>
      <c r="E6" s="3">
        <f>'Operating Assumptions'!E13</f>
        <v>0.21</v>
      </c>
      <c r="F6" s="3">
        <f>'Operating Assumptions'!F13</f>
        <v>0.21</v>
      </c>
      <c r="G6" s="3">
        <f>'Operating Assumptions'!G13</f>
        <v>0.21</v>
      </c>
      <c r="H6" s="3">
        <f>'Operating Assumptions'!H13</f>
        <v>0.21</v>
      </c>
      <c r="I6" s="3">
        <f>'Operating Assumptions'!I13</f>
        <v>0.21</v>
      </c>
      <c r="J6" s="3">
        <f>'Operating Assumptions'!J13</f>
        <v>0.21</v>
      </c>
      <c r="K6" s="3">
        <f>'Operating Assumptions'!K13</f>
        <v>0.21</v>
      </c>
    </row>
    <row r="7" spans="1:11">
      <c r="A7" t="s">
        <v>51</v>
      </c>
      <c r="B7" s="5">
        <f>IF(B5&gt;0,B5*(1-B6),B5)</f>
        <v>-134.4</v>
      </c>
      <c r="C7" s="5">
        <f t="shared" ref="C7:F7" si="2">IF(C5&gt;0,C5*(1-C6),C5)</f>
        <v>-581.17499999999995</v>
      </c>
      <c r="D7" s="5">
        <f t="shared" si="2"/>
        <v>148.15388437499996</v>
      </c>
      <c r="E7" s="5">
        <f t="shared" si="2"/>
        <v>675.32026471874974</v>
      </c>
      <c r="F7" s="5">
        <f t="shared" si="2"/>
        <v>1565.6978756425774</v>
      </c>
      <c r="G7" s="5">
        <f t="shared" ref="G7" si="3">IF(G5&gt;0,G5*(1-G6),G5)</f>
        <v>2196.8480859571632</v>
      </c>
      <c r="H7" s="5">
        <f t="shared" ref="H7" si="4">IF(H5&gt;0,H5*(1-H6),H5)</f>
        <v>2881.2796359088197</v>
      </c>
      <c r="I7" s="5">
        <f t="shared" ref="I7" si="5">IF(I5&gt;0,I5*(1-I6),I5)</f>
        <v>3756.0065817847285</v>
      </c>
      <c r="J7" s="5">
        <f t="shared" ref="J7" si="6">IF(J5&gt;0,J5*(1-J6),J5)</f>
        <v>4517.4308999267741</v>
      </c>
      <c r="K7" s="5">
        <f t="shared" ref="K7" si="7">IF(K5&gt;0,K5*(1-K6),K5)</f>
        <v>5144.8518582499355</v>
      </c>
    </row>
    <row r="8" spans="1:11">
      <c r="A8" t="s">
        <v>58</v>
      </c>
      <c r="B8" s="5">
        <f>B2*'Operating Assumptions'!B14</f>
        <v>8.4</v>
      </c>
      <c r="C8" s="5">
        <f>C2*'Operating Assumptions'!C14</f>
        <v>116.235</v>
      </c>
      <c r="D8" s="5">
        <f>D2*'Operating Assumptions'!D14</f>
        <v>262.55118749999997</v>
      </c>
      <c r="E8" s="5">
        <f>E2*'Operating Assumptions'!E14</f>
        <v>398.92336312499987</v>
      </c>
      <c r="F8" s="5">
        <f>F2*'Operating Assumptions'!F14</f>
        <v>554.93089263281229</v>
      </c>
      <c r="G8" s="5">
        <f>G2*'Operating Assumptions'!G14</f>
        <v>695.20509049277314</v>
      </c>
      <c r="H8" s="5">
        <f>H2*'Operating Assumptions'!H14</f>
        <v>851.0108629266557</v>
      </c>
      <c r="I8" s="5">
        <f>I2*'Operating Assumptions'!I14</f>
        <v>1073.5829347690119</v>
      </c>
      <c r="J8" s="5">
        <f>J2*'Operating Assumptions'!J14</f>
        <v>1250.8708979227617</v>
      </c>
      <c r="K8" s="5">
        <f>K2*'Operating Assumptions'!K14</f>
        <v>1424.6029670787007</v>
      </c>
    </row>
    <row r="9" spans="1:11">
      <c r="A9" t="s">
        <v>59</v>
      </c>
      <c r="B9" s="5">
        <f>'Operating Assumptions'!B2-0</f>
        <v>200</v>
      </c>
      <c r="C9" s="5">
        <f>'Operating Assumptions'!C2-'Operating Assumptions'!B2</f>
        <v>1300</v>
      </c>
      <c r="D9" s="5">
        <f>'Operating Assumptions'!D2-'Operating Assumptions'!C2</f>
        <v>1000</v>
      </c>
      <c r="E9" s="5">
        <f>'Operating Assumptions'!E2-'Operating Assumptions'!D2</f>
        <v>1000</v>
      </c>
      <c r="F9" s="5">
        <f>'Operating Assumptions'!F2-'Operating Assumptions'!E2</f>
        <v>1000</v>
      </c>
      <c r="G9" s="5">
        <f>'Operating Assumptions'!G2-'Operating Assumptions'!F2</f>
        <v>1000</v>
      </c>
      <c r="H9" s="5">
        <f>'Operating Assumptions'!H2-'Operating Assumptions'!G2</f>
        <v>1000</v>
      </c>
      <c r="I9" s="5">
        <f>'Operating Assumptions'!I2-'Operating Assumptions'!H2</f>
        <v>1500</v>
      </c>
      <c r="J9" s="5">
        <f>'Operating Assumptions'!J2-'Operating Assumptions'!I2</f>
        <v>1000</v>
      </c>
      <c r="K9" s="5">
        <f>'Operating Assumptions'!K2-'Operating Assumptions'!J2</f>
        <v>1000</v>
      </c>
    </row>
    <row r="10" spans="1:11">
      <c r="A10" t="s">
        <v>11</v>
      </c>
      <c r="B10" s="7">
        <f>'Operating Forecast'!B9*'Operating Assumptions'!B9</f>
        <v>560</v>
      </c>
      <c r="C10" s="7">
        <f>'Operating Forecast'!C9*'Operating Assumptions'!C9</f>
        <v>3510.0000000000005</v>
      </c>
      <c r="D10" s="7">
        <f>'Operating Forecast'!D9*'Operating Assumptions'!D9</f>
        <v>2600</v>
      </c>
      <c r="E10" s="7">
        <f>'Operating Forecast'!E9*'Operating Assumptions'!E9</f>
        <v>2500</v>
      </c>
      <c r="F10" s="7">
        <f>'Operating Forecast'!F9*'Operating Assumptions'!F9</f>
        <v>2400</v>
      </c>
      <c r="G10" s="7">
        <f>'Operating Forecast'!G9*'Operating Assumptions'!G9</f>
        <v>2350</v>
      </c>
      <c r="H10" s="7">
        <f>'Operating Forecast'!H9*'Operating Assumptions'!H9</f>
        <v>2300</v>
      </c>
      <c r="I10" s="7">
        <f>'Operating Forecast'!I9*'Operating Assumptions'!I9</f>
        <v>3375</v>
      </c>
      <c r="J10" s="7">
        <f>'Operating Forecast'!J9*'Operating Assumptions'!J9</f>
        <v>2200</v>
      </c>
      <c r="K10" s="7">
        <f>'Operating Forecast'!K9*'Operating Assumptions'!K9</f>
        <v>2200</v>
      </c>
    </row>
    <row r="11" spans="1:11">
      <c r="A11" t="s">
        <v>40</v>
      </c>
      <c r="B11" s="3">
        <v>0.05</v>
      </c>
      <c r="C11" s="3">
        <v>0.05</v>
      </c>
      <c r="D11" s="3">
        <v>0.05</v>
      </c>
      <c r="E11" s="3">
        <v>0.05</v>
      </c>
      <c r="F11" s="3">
        <v>0.05</v>
      </c>
      <c r="G11" s="3">
        <v>0.05</v>
      </c>
      <c r="H11" s="3">
        <v>0.05</v>
      </c>
      <c r="I11" s="3">
        <v>0.05</v>
      </c>
      <c r="J11" s="3">
        <v>0.05</v>
      </c>
      <c r="K11" s="3">
        <v>0.05</v>
      </c>
    </row>
    <row r="12" spans="1:11">
      <c r="A12" t="s">
        <v>61</v>
      </c>
      <c r="B12" s="5">
        <f>B11*B2</f>
        <v>8.4</v>
      </c>
      <c r="C12" s="5">
        <f t="shared" ref="C12:F12" si="8">C11*C2</f>
        <v>96.862500000000011</v>
      </c>
      <c r="D12" s="5">
        <f t="shared" si="8"/>
        <v>187.53656249999995</v>
      </c>
      <c r="E12" s="5">
        <f t="shared" si="8"/>
        <v>284.94525937499992</v>
      </c>
      <c r="F12" s="5">
        <f t="shared" si="8"/>
        <v>396.37920902343734</v>
      </c>
      <c r="G12" s="5">
        <f>G11*G2</f>
        <v>496.57506463769505</v>
      </c>
      <c r="H12" s="5">
        <f t="shared" ref="H12" si="9">H11*H2</f>
        <v>607.86490209046838</v>
      </c>
      <c r="I12" s="5">
        <f t="shared" ref="I12" si="10">I11*I2</f>
        <v>766.84495340643707</v>
      </c>
      <c r="J12" s="5">
        <f t="shared" ref="J12" si="11">J11*J2</f>
        <v>893.47921280197261</v>
      </c>
      <c r="K12" s="5">
        <f t="shared" ref="K12" si="12">K11*K2</f>
        <v>1017.5735479133575</v>
      </c>
    </row>
    <row r="13" spans="1:11">
      <c r="A13" t="s">
        <v>60</v>
      </c>
      <c r="B13" s="5">
        <f>B12-0</f>
        <v>8.4</v>
      </c>
      <c r="C13" s="5">
        <f t="shared" ref="C13:F13" si="13">C12-B12</f>
        <v>88.462500000000006</v>
      </c>
      <c r="D13" s="5">
        <f t="shared" si="13"/>
        <v>90.674062499999934</v>
      </c>
      <c r="E13" s="5">
        <f t="shared" si="13"/>
        <v>97.408696874999976</v>
      </c>
      <c r="F13" s="5">
        <f t="shared" si="13"/>
        <v>111.43394964843742</v>
      </c>
      <c r="G13" s="5">
        <f t="shared" ref="G13" si="14">G12-F12</f>
        <v>100.19585561425771</v>
      </c>
      <c r="H13" s="5">
        <f t="shared" ref="H13" si="15">H12-G12</f>
        <v>111.28983745277333</v>
      </c>
      <c r="I13" s="5">
        <f t="shared" ref="I13" si="16">I12-H12</f>
        <v>158.98005131596869</v>
      </c>
      <c r="J13" s="5">
        <f t="shared" ref="J13" si="17">J12-I12</f>
        <v>126.63425939553554</v>
      </c>
      <c r="K13" s="5">
        <f t="shared" ref="K13" si="18">K12-J12</f>
        <v>124.09433511138491</v>
      </c>
    </row>
    <row r="14" spans="1:11">
      <c r="A14" t="s">
        <v>52</v>
      </c>
      <c r="B14" s="5">
        <f>B7+B8-B10-B13</f>
        <v>-694.4</v>
      </c>
      <c r="C14" s="5">
        <f t="shared" ref="C14:E14" si="19">C7+C8-C10-C13</f>
        <v>-4063.4025000000006</v>
      </c>
      <c r="D14" s="5">
        <f t="shared" si="19"/>
        <v>-2279.9689906250001</v>
      </c>
      <c r="E14" s="5">
        <f t="shared" si="19"/>
        <v>-1523.1650690312504</v>
      </c>
      <c r="F14" s="5">
        <f>F7+F8-F10-F13</f>
        <v>-390.80518137304784</v>
      </c>
      <c r="G14" s="5">
        <f t="shared" ref="G14:K14" si="20">G7+G8-G10-G13</f>
        <v>441.85732083567876</v>
      </c>
      <c r="H14" s="5">
        <f t="shared" si="20"/>
        <v>1321.000661382702</v>
      </c>
      <c r="I14" s="5">
        <f t="shared" si="20"/>
        <v>1295.6094652377717</v>
      </c>
      <c r="J14" s="5">
        <f t="shared" si="20"/>
        <v>3441.6675384539999</v>
      </c>
      <c r="K14" s="5">
        <f t="shared" si="20"/>
        <v>4245.360490217251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4250-1684-440D-96E2-81E4BBEC7FFE}">
  <dimension ref="A1:C11"/>
  <sheetViews>
    <sheetView workbookViewId="0">
      <selection activeCell="G17" sqref="G17"/>
    </sheetView>
  </sheetViews>
  <sheetFormatPr defaultRowHeight="15.75"/>
  <cols>
    <col min="1" max="1" width="19.875" customWidth="1"/>
    <col min="2" max="2" width="10" bestFit="1" customWidth="1"/>
    <col min="3" max="3" width="45.375" bestFit="1" customWidth="1"/>
  </cols>
  <sheetData>
    <row r="1" spans="1:3">
      <c r="A1" s="1" t="s">
        <v>74</v>
      </c>
      <c r="B1" s="1" t="s">
        <v>75</v>
      </c>
      <c r="C1" s="1" t="s">
        <v>76</v>
      </c>
    </row>
    <row r="2" spans="1:3">
      <c r="A2" t="s">
        <v>73</v>
      </c>
      <c r="B2" s="3">
        <v>4.5999999999999999E-2</v>
      </c>
      <c r="C2" t="s">
        <v>86</v>
      </c>
    </row>
    <row r="3" spans="1:3">
      <c r="A3" t="s">
        <v>77</v>
      </c>
      <c r="B3" s="3">
        <v>4.2000000000000003E-2</v>
      </c>
      <c r="C3" t="s">
        <v>87</v>
      </c>
    </row>
    <row r="4" spans="1:3">
      <c r="A4" t="s">
        <v>78</v>
      </c>
      <c r="B4">
        <v>1.6</v>
      </c>
      <c r="C4" t="s">
        <v>88</v>
      </c>
    </row>
    <row r="5" spans="1:3">
      <c r="A5" t="s">
        <v>79</v>
      </c>
      <c r="B5" s="3">
        <f>B2+B4*B3</f>
        <v>0.11320000000000001</v>
      </c>
      <c r="C5" t="s">
        <v>89</v>
      </c>
    </row>
    <row r="6" spans="1:3">
      <c r="A6" t="s">
        <v>80</v>
      </c>
      <c r="B6" s="3">
        <v>0.08</v>
      </c>
      <c r="C6" t="s">
        <v>90</v>
      </c>
    </row>
    <row r="7" spans="1:3">
      <c r="A7" t="s">
        <v>38</v>
      </c>
      <c r="B7" s="2">
        <v>0.21</v>
      </c>
      <c r="C7" t="s">
        <v>81</v>
      </c>
    </row>
    <row r="8" spans="1:3">
      <c r="A8" t="s">
        <v>82</v>
      </c>
      <c r="B8" s="3">
        <f>B6*(1-B7)</f>
        <v>6.3200000000000006E-2</v>
      </c>
    </row>
    <row r="9" spans="1:3">
      <c r="A9" t="s">
        <v>83</v>
      </c>
      <c r="B9" s="3">
        <v>0.2</v>
      </c>
    </row>
    <row r="10" spans="1:3">
      <c r="A10" t="s">
        <v>84</v>
      </c>
      <c r="B10" s="3">
        <f>1-B9</f>
        <v>0.8</v>
      </c>
    </row>
    <row r="11" spans="1:3">
      <c r="A11" t="s">
        <v>85</v>
      </c>
      <c r="B11" s="3">
        <f>B5*B10+B9*B8</f>
        <v>0.10320000000000001</v>
      </c>
      <c r="C11" t="s">
        <v>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41A1-401D-4F1F-9EDD-4F3189AFD9D7}">
  <dimension ref="A1:AE42"/>
  <sheetViews>
    <sheetView tabSelected="1" topLeftCell="G12" workbookViewId="0">
      <selection activeCell="K31" sqref="K31"/>
    </sheetView>
  </sheetViews>
  <sheetFormatPr defaultRowHeight="15.75"/>
  <cols>
    <col min="1" max="1" width="20.625" bestFit="1" customWidth="1"/>
    <col min="2" max="2" width="14.125" customWidth="1"/>
    <col min="3" max="3" width="10.875" bestFit="1" customWidth="1"/>
    <col min="7" max="7" width="16.375" customWidth="1"/>
    <col min="8" max="8" width="11.5" customWidth="1"/>
    <col min="9" max="9" width="10.875" bestFit="1" customWidth="1"/>
  </cols>
  <sheetData>
    <row r="1" spans="1:20" ht="19.5">
      <c r="A1" s="10" t="s">
        <v>93</v>
      </c>
      <c r="B1" s="10" t="s">
        <v>75</v>
      </c>
      <c r="S1" s="30" t="s">
        <v>127</v>
      </c>
      <c r="T1" s="31"/>
    </row>
    <row r="2" spans="1:20">
      <c r="A2" s="4" t="s">
        <v>85</v>
      </c>
      <c r="B2" s="11">
        <v>0.1032</v>
      </c>
    </row>
    <row r="3" spans="1:20">
      <c r="A3" s="4" t="s">
        <v>92</v>
      </c>
      <c r="B3" s="11">
        <f t="shared" ref="B3" si="0">2.5%</f>
        <v>2.5000000000000001E-2</v>
      </c>
    </row>
    <row r="6" spans="1:20">
      <c r="A6" t="s">
        <v>94</v>
      </c>
      <c r="B6" t="s">
        <v>95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106</v>
      </c>
      <c r="I6" t="s">
        <v>107</v>
      </c>
      <c r="J6" t="s">
        <v>108</v>
      </c>
      <c r="K6" t="s">
        <v>109</v>
      </c>
      <c r="L6" t="s">
        <v>110</v>
      </c>
    </row>
    <row r="7" spans="1:20">
      <c r="A7" t="s">
        <v>52</v>
      </c>
      <c r="B7" s="9">
        <f>'Operating Forecast'!B14</f>
        <v>-694.4</v>
      </c>
      <c r="C7" s="9">
        <f>'Operating Forecast'!C14</f>
        <v>-4063.4025000000006</v>
      </c>
      <c r="D7" s="9">
        <f>'Operating Forecast'!D14</f>
        <v>-2279.9689906250001</v>
      </c>
      <c r="E7" s="9">
        <f>'Operating Forecast'!E14</f>
        <v>-1523.1650690312504</v>
      </c>
      <c r="F7" s="9">
        <f>'Operating Forecast'!F14</f>
        <v>-390.80518137304784</v>
      </c>
      <c r="G7" s="9">
        <f>'Operating Forecast'!G14</f>
        <v>441.85732083567876</v>
      </c>
      <c r="H7" s="9">
        <f>'Operating Forecast'!H14</f>
        <v>1321.000661382702</v>
      </c>
      <c r="I7" s="9">
        <f>'Operating Forecast'!I14</f>
        <v>1295.6094652377717</v>
      </c>
      <c r="J7" s="9">
        <f>'Operating Forecast'!J14</f>
        <v>3441.6675384539999</v>
      </c>
      <c r="K7" s="9">
        <f>'Operating Forecast'!K14</f>
        <v>4245.360490217251</v>
      </c>
      <c r="L7" s="9">
        <f>Table37[[#This Row],[FY35E]]*(1+B3)</f>
        <v>4351.4945024726821</v>
      </c>
    </row>
    <row r="8" spans="1:20">
      <c r="A8" t="s">
        <v>101</v>
      </c>
      <c r="B8" s="9">
        <f>1/(1+B2)^1</f>
        <v>0.90645395213923141</v>
      </c>
      <c r="C8" s="9">
        <f>1/(1+$B$2)^2</f>
        <v>0.82165876734883203</v>
      </c>
      <c r="D8" s="9">
        <f>1/(1+$B$2)^3</f>
        <v>0.74479583697319796</v>
      </c>
      <c r="E8" s="9">
        <f>1/(1+$B$2)^4</f>
        <v>0.67512312996120205</v>
      </c>
      <c r="F8" s="9">
        <f>1/(1+$B$2)^5</f>
        <v>0.61196802933393946</v>
      </c>
      <c r="G8" s="9">
        <f>1/(1+$B$2)^6</f>
        <v>0.55472083877260647</v>
      </c>
      <c r="H8" s="9">
        <f>1/(1+$B$2)^7</f>
        <v>0.50282889663941854</v>
      </c>
      <c r="I8" s="9">
        <f>1/(1+$B$2)^8</f>
        <v>0.45579124060860998</v>
      </c>
      <c r="J8" s="9">
        <f>1/(1+$B$2)^9</f>
        <v>0.41315377140011789</v>
      </c>
      <c r="K8" s="9">
        <f>1/(1+$B$2)^10</f>
        <v>0.37450486892686541</v>
      </c>
      <c r="L8" s="9"/>
    </row>
    <row r="9" spans="1:20">
      <c r="A9" t="s">
        <v>102</v>
      </c>
      <c r="B9" s="9">
        <f>B7*B8</f>
        <v>-629.44162436548231</v>
      </c>
      <c r="C9" s="9">
        <f t="shared" ref="C9:K9" si="1">C7*C8</f>
        <v>-3338.7302893921628</v>
      </c>
      <c r="D9" s="9">
        <f t="shared" si="1"/>
        <v>-1698.1114126454843</v>
      </c>
      <c r="E9" s="9">
        <f t="shared" si="1"/>
        <v>-1028.3239688519482</v>
      </c>
      <c r="F9" s="9">
        <f t="shared" si="1"/>
        <v>-239.16027669835688</v>
      </c>
      <c r="G9" s="9">
        <f t="shared" si="1"/>
        <v>245.10746363178441</v>
      </c>
      <c r="H9" s="9">
        <f t="shared" si="1"/>
        <v>664.23730502300623</v>
      </c>
      <c r="I9" s="9">
        <f t="shared" si="1"/>
        <v>590.52744550498176</v>
      </c>
      <c r="J9" s="9">
        <f t="shared" si="1"/>
        <v>1421.9379234176304</v>
      </c>
      <c r="K9" s="9">
        <f t="shared" si="1"/>
        <v>1589.9081739361047</v>
      </c>
      <c r="L9" s="9"/>
    </row>
    <row r="10" spans="1:20">
      <c r="A10" t="s">
        <v>103</v>
      </c>
      <c r="B10" s="9"/>
      <c r="C10" s="9"/>
      <c r="D10" s="9"/>
      <c r="E10" s="9"/>
      <c r="F10" s="9"/>
      <c r="G10" s="9"/>
      <c r="H10" s="9"/>
      <c r="I10" s="9"/>
      <c r="J10" s="9"/>
      <c r="K10" s="9">
        <f>L7/(B2-B3)</f>
        <v>55645.709750290058</v>
      </c>
      <c r="L10" s="9"/>
    </row>
    <row r="11" spans="1:20">
      <c r="A11" t="s">
        <v>104</v>
      </c>
      <c r="B11" s="9"/>
      <c r="C11" s="9"/>
      <c r="D11" s="9"/>
      <c r="E11" s="9"/>
      <c r="F11" s="9"/>
      <c r="G11" s="9"/>
      <c r="H11" s="9"/>
      <c r="I11" s="9"/>
      <c r="J11" s="9"/>
      <c r="K11" s="9">
        <f>K10/(1+B2)^10</f>
        <v>20839.589236374773</v>
      </c>
      <c r="L11" s="9"/>
    </row>
    <row r="12" spans="1:20">
      <c r="A12" t="s">
        <v>105</v>
      </c>
      <c r="B12" s="9">
        <f>B9+B11</f>
        <v>-629.44162436548231</v>
      </c>
      <c r="C12" s="9">
        <f t="shared" ref="C12:K12" si="2">C9+C11</f>
        <v>-3338.7302893921628</v>
      </c>
      <c r="D12" s="9">
        <f t="shared" si="2"/>
        <v>-1698.1114126454843</v>
      </c>
      <c r="E12" s="9">
        <f t="shared" si="2"/>
        <v>-1028.3239688519482</v>
      </c>
      <c r="F12" s="9">
        <f t="shared" si="2"/>
        <v>-239.16027669835688</v>
      </c>
      <c r="G12" s="9">
        <f t="shared" si="2"/>
        <v>245.10746363178441</v>
      </c>
      <c r="H12" s="9">
        <f t="shared" si="2"/>
        <v>664.23730502300623</v>
      </c>
      <c r="I12" s="9">
        <f t="shared" si="2"/>
        <v>590.52744550498176</v>
      </c>
      <c r="J12" s="9">
        <f t="shared" si="2"/>
        <v>1421.9379234176304</v>
      </c>
      <c r="K12" s="9">
        <f t="shared" si="2"/>
        <v>22429.49741031088</v>
      </c>
      <c r="L12" s="9"/>
    </row>
    <row r="18" spans="1:31" ht="18.75">
      <c r="A18" s="1" t="s">
        <v>111</v>
      </c>
      <c r="G18" s="1" t="s">
        <v>114</v>
      </c>
      <c r="R18" s="20"/>
      <c r="S18" s="32" t="s">
        <v>111</v>
      </c>
      <c r="T18" s="33"/>
      <c r="AB18" s="33" t="s">
        <v>118</v>
      </c>
      <c r="AC18" s="20"/>
      <c r="AD18" s="33"/>
    </row>
    <row r="19" spans="1:31">
      <c r="A19" s="12" t="s">
        <v>102</v>
      </c>
      <c r="B19" s="39">
        <f>SUM(B9:K9)</f>
        <v>-2422.0492604399269</v>
      </c>
      <c r="C19" s="13">
        <f>B19/B21</f>
        <v>-0.13150775095939421</v>
      </c>
      <c r="G19" s="12" t="s">
        <v>113</v>
      </c>
      <c r="H19" s="18"/>
      <c r="I19" s="19">
        <f>B21</f>
        <v>18417.539975934847</v>
      </c>
    </row>
    <row r="20" spans="1:31">
      <c r="A20" s="14" t="s">
        <v>112</v>
      </c>
      <c r="B20" s="46">
        <f>K11</f>
        <v>20839.589236374773</v>
      </c>
      <c r="C20" s="15">
        <f>B20/B21</f>
        <v>1.131507750959394</v>
      </c>
      <c r="G20" s="14" t="s">
        <v>115</v>
      </c>
      <c r="H20" s="21"/>
      <c r="I20" s="23">
        <f>'Historical Data'!C23</f>
        <v>109.79900000000001</v>
      </c>
    </row>
    <row r="21" spans="1:31">
      <c r="A21" s="16" t="s">
        <v>113</v>
      </c>
      <c r="B21" s="46">
        <f>SUM(B19:B20)</f>
        <v>18417.539975934847</v>
      </c>
      <c r="C21" s="17">
        <f>SUM(C19:C20)</f>
        <v>0.99999999999999978</v>
      </c>
      <c r="G21" s="14" t="s">
        <v>117</v>
      </c>
      <c r="H21" s="21"/>
      <c r="I21" s="24">
        <f>'Historical Data'!C16</f>
        <v>408.529</v>
      </c>
      <c r="S21" s="34" t="s">
        <v>128</v>
      </c>
      <c r="AC21" s="34" t="s">
        <v>128</v>
      </c>
    </row>
    <row r="22" spans="1:31">
      <c r="G22" s="16" t="s">
        <v>116</v>
      </c>
      <c r="H22" s="20"/>
      <c r="I22" s="25">
        <f>I19-I20+I21</f>
        <v>18716.269975934847</v>
      </c>
      <c r="P22" s="35">
        <f>$I$19</f>
        <v>18417.539975934847</v>
      </c>
      <c r="Q22" s="3">
        <v>1.4999999999999999E-2</v>
      </c>
      <c r="R22" s="3">
        <v>0.02</v>
      </c>
      <c r="S22" s="36">
        <v>2.5000000000000001E-2</v>
      </c>
      <c r="T22" s="3">
        <v>0.03</v>
      </c>
      <c r="U22" s="3">
        <v>3.5000000000000003E-2</v>
      </c>
      <c r="AA22" s="3">
        <v>1.4999999999999999E-2</v>
      </c>
      <c r="AB22" s="3">
        <v>0.02</v>
      </c>
      <c r="AC22" s="36">
        <v>2.5000000000000001E-2</v>
      </c>
      <c r="AD22" s="3">
        <v>0.03</v>
      </c>
      <c r="AE22" s="3">
        <v>3.5000000000000003E-2</v>
      </c>
    </row>
    <row r="23" spans="1:31">
      <c r="P23" s="3">
        <v>0.08</v>
      </c>
      <c r="Q23" s="38">
        <f t="dataTable" ref="Q23:U27" dt2D="1" dtr="1" r1="B3" r2="B2"/>
        <v>28821.64857978034</v>
      </c>
      <c r="R23" s="39">
        <v>31544.388580205839</v>
      </c>
      <c r="S23" s="39">
        <v>34762.17221707233</v>
      </c>
      <c r="T23" s="39">
        <v>38623.512581312127</v>
      </c>
      <c r="U23" s="40">
        <v>43342.928582049644</v>
      </c>
      <c r="Z23" s="3">
        <v>0.08</v>
      </c>
      <c r="AA23" s="38">
        <f>Q38/$C$26</f>
        <v>46.234580669761016</v>
      </c>
      <c r="AB23" s="39">
        <f t="shared" ref="AB23:AE27" si="3">R38/$C$26</f>
        <v>50.557489516827509</v>
      </c>
      <c r="AC23" s="39">
        <f t="shared" si="3"/>
        <v>55.666381790633352</v>
      </c>
      <c r="AD23" s="39">
        <f t="shared" si="3"/>
        <v>61.797052519200371</v>
      </c>
      <c r="AE23" s="40">
        <f t="shared" si="3"/>
        <v>69.290094520782262</v>
      </c>
    </row>
    <row r="24" spans="1:31">
      <c r="A24" s="1" t="s">
        <v>118</v>
      </c>
      <c r="G24" s="1" t="s">
        <v>124</v>
      </c>
      <c r="P24" s="3">
        <v>0.09</v>
      </c>
      <c r="Q24" s="41">
        <v>22132.636823558412</v>
      </c>
      <c r="R24" s="42">
        <v>23994.238636660288</v>
      </c>
      <c r="S24" s="42">
        <v>26142.240728700901</v>
      </c>
      <c r="T24" s="42">
        <v>28648.243169414964</v>
      </c>
      <c r="U24" s="43">
        <v>31609.882417531571</v>
      </c>
      <c r="Z24" s="3">
        <v>0.09</v>
      </c>
      <c r="AA24" s="41">
        <f t="shared" ref="AA24:AA27" si="4">Q39/$C$26</f>
        <v>35.614400963074139</v>
      </c>
      <c r="AB24" s="48">
        <f t="shared" si="3"/>
        <v>38.570076108815364</v>
      </c>
      <c r="AC24" s="48">
        <f t="shared" si="3"/>
        <v>41.980470507747533</v>
      </c>
      <c r="AD24" s="48">
        <f t="shared" si="3"/>
        <v>45.959263973168419</v>
      </c>
      <c r="AE24" s="43">
        <f t="shared" si="3"/>
        <v>50.661474432302178</v>
      </c>
    </row>
    <row r="25" spans="1:31" ht="24.75">
      <c r="A25" s="12" t="s">
        <v>116</v>
      </c>
      <c r="B25" s="18"/>
      <c r="C25" s="26">
        <f>I22</f>
        <v>18716.269975934847</v>
      </c>
      <c r="G25" s="12" t="s">
        <v>120</v>
      </c>
      <c r="H25" s="18" t="s">
        <v>121</v>
      </c>
      <c r="I25" s="26">
        <f>C27</f>
        <v>29.715921847260311</v>
      </c>
      <c r="O25" s="37" t="s">
        <v>129</v>
      </c>
      <c r="P25" s="36">
        <v>0.1032</v>
      </c>
      <c r="Q25" s="41">
        <v>15874.513058666038</v>
      </c>
      <c r="R25" s="42">
        <v>17069.613448872897</v>
      </c>
      <c r="S25" s="44">
        <v>18417.539975934847</v>
      </c>
      <c r="T25" s="42">
        <v>19949.609471174663</v>
      </c>
      <c r="U25" s="43">
        <v>21706.32258741738</v>
      </c>
      <c r="Y25" s="37" t="s">
        <v>129</v>
      </c>
      <c r="Z25" s="36">
        <v>0.1032</v>
      </c>
      <c r="AA25" s="41">
        <f t="shared" si="4"/>
        <v>25.678344422580921</v>
      </c>
      <c r="AB25" s="48">
        <f t="shared" si="3"/>
        <v>27.575811697880976</v>
      </c>
      <c r="AC25" s="44">
        <f t="shared" si="3"/>
        <v>29.715921847260311</v>
      </c>
      <c r="AD25" s="48">
        <f t="shared" si="3"/>
        <v>32.14839677114503</v>
      </c>
      <c r="AE25" s="43">
        <f t="shared" si="3"/>
        <v>34.937539572432193</v>
      </c>
    </row>
    <row r="26" spans="1:31" ht="21.75">
      <c r="A26" s="14" t="s">
        <v>119</v>
      </c>
      <c r="C26" s="27">
        <f>'Historical Data'!C24</f>
        <v>629.83978999999999</v>
      </c>
      <c r="G26" s="14" t="s">
        <v>125</v>
      </c>
      <c r="H26" t="s">
        <v>121</v>
      </c>
      <c r="I26" s="28">
        <f>6.65</f>
        <v>6.65</v>
      </c>
      <c r="O26" s="37" t="s">
        <v>130</v>
      </c>
      <c r="P26" s="3">
        <v>0.11</v>
      </c>
      <c r="Q26" s="41">
        <v>13423.878872723108</v>
      </c>
      <c r="R26" s="42">
        <v>14394.414884019679</v>
      </c>
      <c r="S26" s="42">
        <v>15479.13160252761</v>
      </c>
      <c r="T26" s="42">
        <v>16699.437910849032</v>
      </c>
      <c r="U26" s="43">
        <v>18082.451726946645</v>
      </c>
      <c r="Y26" s="37" t="s">
        <v>130</v>
      </c>
      <c r="Z26" s="3">
        <v>0.11</v>
      </c>
      <c r="AA26" s="41">
        <f t="shared" si="4"/>
        <v>21.787459431108832</v>
      </c>
      <c r="AB26" s="48">
        <f t="shared" si="3"/>
        <v>23.328384642100303</v>
      </c>
      <c r="AC26" s="48">
        <f t="shared" si="3"/>
        <v>25.050595172031937</v>
      </c>
      <c r="AD26" s="48">
        <f t="shared" si="3"/>
        <v>26.988082018205031</v>
      </c>
      <c r="AE26" s="43">
        <f t="shared" si="3"/>
        <v>29.183900443867866</v>
      </c>
    </row>
    <row r="27" spans="1:31">
      <c r="A27" s="16" t="s">
        <v>120</v>
      </c>
      <c r="B27" s="20" t="s">
        <v>121</v>
      </c>
      <c r="C27" s="22">
        <f>C25/C26</f>
        <v>29.715921847260311</v>
      </c>
      <c r="G27" s="16" t="s">
        <v>126</v>
      </c>
      <c r="H27" s="20"/>
      <c r="I27" s="29">
        <f>(I25-I26)/I26</f>
        <v>3.4685596762797459</v>
      </c>
      <c r="P27" s="3">
        <v>0.12</v>
      </c>
      <c r="Q27" s="45">
        <v>10494.064464971929</v>
      </c>
      <c r="R27" s="46">
        <v>11223.073775654339</v>
      </c>
      <c r="S27" s="46">
        <v>12028.820908513835</v>
      </c>
      <c r="T27" s="46">
        <v>12924.095500579953</v>
      </c>
      <c r="U27" s="25">
        <v>13924.69651524208</v>
      </c>
      <c r="Z27" s="3">
        <v>0.12</v>
      </c>
      <c r="AA27" s="45">
        <f t="shared" si="4"/>
        <v>17.135777441072641</v>
      </c>
      <c r="AB27" s="46">
        <f t="shared" si="3"/>
        <v>18.293229418951665</v>
      </c>
      <c r="AC27" s="46">
        <f t="shared" si="3"/>
        <v>19.572518447133731</v>
      </c>
      <c r="AD27" s="46">
        <f t="shared" si="3"/>
        <v>20.993950700669377</v>
      </c>
      <c r="AE27" s="25">
        <f t="shared" si="3"/>
        <v>22.582610278150383</v>
      </c>
    </row>
    <row r="32" spans="1:31">
      <c r="Q32" s="37"/>
    </row>
    <row r="33" spans="15:31" ht="18.75">
      <c r="R33" s="20"/>
      <c r="S33" s="33" t="s">
        <v>114</v>
      </c>
      <c r="T33" s="33"/>
      <c r="AA33" s="33" t="s">
        <v>131</v>
      </c>
      <c r="AB33" s="20"/>
      <c r="AC33" s="33"/>
      <c r="AD33" s="20"/>
      <c r="AE33" s="20"/>
    </row>
    <row r="36" spans="15:31">
      <c r="S36" s="34" t="s">
        <v>128</v>
      </c>
      <c r="AC36" s="34" t="s">
        <v>128</v>
      </c>
    </row>
    <row r="37" spans="15:31">
      <c r="Q37" s="3">
        <v>1.4999999999999999E-2</v>
      </c>
      <c r="R37" s="3">
        <v>0.02</v>
      </c>
      <c r="S37" s="36">
        <v>2.5000000000000001E-2</v>
      </c>
      <c r="T37" s="3">
        <v>0.03</v>
      </c>
      <c r="U37" s="3">
        <v>3.5000000000000003E-2</v>
      </c>
      <c r="AA37" s="3">
        <v>1.4999999999999999E-2</v>
      </c>
      <c r="AB37" s="3">
        <v>0.02</v>
      </c>
      <c r="AC37" s="3">
        <v>2.5000000000000001E-2</v>
      </c>
      <c r="AD37" s="3">
        <v>0.03</v>
      </c>
      <c r="AE37" s="3">
        <v>3.5000000000000003E-2</v>
      </c>
    </row>
    <row r="38" spans="15:31">
      <c r="P38" s="3">
        <v>0.08</v>
      </c>
      <c r="Q38" s="38">
        <f>Q23-$I$20+$I$21</f>
        <v>29120.378579780339</v>
      </c>
      <c r="R38" s="39">
        <f t="shared" ref="R38:U38" si="5">R23-$I$20+$I$21</f>
        <v>31843.118580205839</v>
      </c>
      <c r="S38" s="39">
        <f t="shared" si="5"/>
        <v>35060.902217072333</v>
      </c>
      <c r="T38" s="39">
        <f t="shared" si="5"/>
        <v>38922.24258131213</v>
      </c>
      <c r="U38" s="40">
        <f t="shared" si="5"/>
        <v>43641.658582049648</v>
      </c>
      <c r="Z38" s="3">
        <v>0.08</v>
      </c>
      <c r="AA38" s="49">
        <f>AA23/$I$26-1</f>
        <v>5.9525685217685735</v>
      </c>
      <c r="AB38" s="50">
        <f t="shared" ref="AB38:AE38" si="6">AB23/$I$26-1</f>
        <v>6.6026300025304518</v>
      </c>
      <c r="AC38" s="50">
        <f t="shared" si="6"/>
        <v>7.3708844797944888</v>
      </c>
      <c r="AD38" s="50">
        <f t="shared" si="6"/>
        <v>8.2927898525113335</v>
      </c>
      <c r="AE38" s="51">
        <f t="shared" si="6"/>
        <v>9.4195630858319177</v>
      </c>
    </row>
    <row r="39" spans="15:31">
      <c r="P39" s="3">
        <v>0.09</v>
      </c>
      <c r="Q39" s="41">
        <f t="shared" ref="Q39:U42" si="7">Q24-$I$20+$I$21</f>
        <v>22431.366823558412</v>
      </c>
      <c r="R39" s="48">
        <f t="shared" si="7"/>
        <v>24292.968636660287</v>
      </c>
      <c r="S39" s="48">
        <f t="shared" si="7"/>
        <v>26440.970728700901</v>
      </c>
      <c r="T39" s="48">
        <f t="shared" si="7"/>
        <v>28946.973169414963</v>
      </c>
      <c r="U39" s="43">
        <f t="shared" si="7"/>
        <v>31908.612417531571</v>
      </c>
      <c r="Z39" s="3">
        <v>0.09</v>
      </c>
      <c r="AA39" s="52">
        <f t="shared" ref="AA39:AE42" si="8">AA24/$I$26-1</f>
        <v>4.3555490170036295</v>
      </c>
      <c r="AB39" s="53">
        <f t="shared" si="8"/>
        <v>4.8000114449346407</v>
      </c>
      <c r="AC39" s="53">
        <f t="shared" si="8"/>
        <v>5.3128527079319596</v>
      </c>
      <c r="AD39" s="53">
        <f t="shared" si="8"/>
        <v>5.9111675147621678</v>
      </c>
      <c r="AE39" s="54">
        <f t="shared" si="8"/>
        <v>6.6182668319251388</v>
      </c>
    </row>
    <row r="40" spans="15:31" ht="24.75">
      <c r="O40" s="37" t="s">
        <v>129</v>
      </c>
      <c r="P40" s="36">
        <v>0.1032</v>
      </c>
      <c r="Q40" s="41">
        <f t="shared" si="7"/>
        <v>16173.243058666038</v>
      </c>
      <c r="R40" s="48">
        <f t="shared" si="7"/>
        <v>17368.343448872896</v>
      </c>
      <c r="S40" s="44">
        <f>S25-$I$20+$I$21</f>
        <v>18716.269975934847</v>
      </c>
      <c r="T40" s="48">
        <f t="shared" si="7"/>
        <v>20248.339471174662</v>
      </c>
      <c r="U40" s="43">
        <f t="shared" si="7"/>
        <v>22005.05258741738</v>
      </c>
      <c r="Y40" s="37" t="s">
        <v>129</v>
      </c>
      <c r="Z40" s="36">
        <v>0.1032</v>
      </c>
      <c r="AA40" s="52">
        <f t="shared" si="8"/>
        <v>2.861405176327958</v>
      </c>
      <c r="AB40" s="53">
        <f t="shared" si="8"/>
        <v>3.1467386011851088</v>
      </c>
      <c r="AC40" s="55">
        <f t="shared" si="8"/>
        <v>3.4685596762797459</v>
      </c>
      <c r="AD40" s="53">
        <f t="shared" si="8"/>
        <v>3.8343453791195534</v>
      </c>
      <c r="AE40" s="54">
        <f t="shared" si="8"/>
        <v>4.2537653492379235</v>
      </c>
    </row>
    <row r="41" spans="15:31" ht="21.75">
      <c r="O41" s="37" t="s">
        <v>130</v>
      </c>
      <c r="P41" s="3">
        <v>0.11</v>
      </c>
      <c r="Q41" s="41">
        <f t="shared" si="7"/>
        <v>13722.608872723107</v>
      </c>
      <c r="R41" s="48">
        <f t="shared" si="7"/>
        <v>14693.144884019679</v>
      </c>
      <c r="S41" s="48">
        <f t="shared" si="7"/>
        <v>15777.86160252761</v>
      </c>
      <c r="T41" s="48">
        <f t="shared" si="7"/>
        <v>16998.167910849032</v>
      </c>
      <c r="U41" s="43">
        <f t="shared" si="7"/>
        <v>18381.181726946645</v>
      </c>
      <c r="Y41" s="37" t="s">
        <v>130</v>
      </c>
      <c r="Z41" s="3">
        <v>0.11</v>
      </c>
      <c r="AA41" s="52">
        <f t="shared" si="8"/>
        <v>2.2763096888885461</v>
      </c>
      <c r="AB41" s="53">
        <f t="shared" si="8"/>
        <v>2.5080277657293686</v>
      </c>
      <c r="AC41" s="53">
        <f t="shared" si="8"/>
        <v>2.767006792786757</v>
      </c>
      <c r="AD41" s="53">
        <f t="shared" si="8"/>
        <v>3.0583581982263199</v>
      </c>
      <c r="AE41" s="54">
        <f t="shared" si="8"/>
        <v>3.3885564577244907</v>
      </c>
    </row>
    <row r="42" spans="15:31">
      <c r="P42" s="3">
        <v>0.12</v>
      </c>
      <c r="Q42" s="45">
        <f t="shared" si="7"/>
        <v>10792.794464971928</v>
      </c>
      <c r="R42" s="46">
        <f t="shared" si="7"/>
        <v>11521.803775654338</v>
      </c>
      <c r="S42" s="46">
        <f t="shared" si="7"/>
        <v>12327.550908513835</v>
      </c>
      <c r="T42" s="46">
        <f t="shared" si="7"/>
        <v>13222.825500579953</v>
      </c>
      <c r="U42" s="25">
        <f t="shared" si="7"/>
        <v>14223.426515242079</v>
      </c>
      <c r="Z42" s="3">
        <v>0.12</v>
      </c>
      <c r="AA42" s="56">
        <f t="shared" si="8"/>
        <v>1.5768086377552843</v>
      </c>
      <c r="AB42" s="57">
        <f t="shared" si="8"/>
        <v>1.7508615667596485</v>
      </c>
      <c r="AC42" s="57">
        <f t="shared" si="8"/>
        <v>1.9432358567118393</v>
      </c>
      <c r="AD42" s="57">
        <f t="shared" si="8"/>
        <v>2.1569850677698308</v>
      </c>
      <c r="AE42" s="58">
        <f t="shared" si="8"/>
        <v>2.3958812448346438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Historical Data</vt:lpstr>
      <vt:lpstr>Operating Assumptions</vt:lpstr>
      <vt:lpstr>Operating Forecast</vt:lpstr>
      <vt:lpstr>WACC Assumptions</vt:lpstr>
      <vt:lpstr>DCF &amp; 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jingtaos</dc:creator>
  <cp:lastModifiedBy>jingtaos</cp:lastModifiedBy>
  <dcterms:created xsi:type="dcterms:W3CDTF">2026-07-22T00:31:32Z</dcterms:created>
  <dcterms:modified xsi:type="dcterms:W3CDTF">2026-07-22T03:20:45Z</dcterms:modified>
</cp:coreProperties>
</file>